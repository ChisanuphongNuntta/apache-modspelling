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<sst xmlns="http://schemas.openxmlformats.org/spreadsheetml/2006/main" uniqueCount="31">
  <si>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</si>
  <si>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</si>
  <si>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</si>
  <si>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</si>
  <si>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</si>
  <si>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</si>
  <si>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</si>
  <si>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</si>
  <si>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</si>
  <si>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</si>
  <si>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</si>
  <si>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</si>
  <si>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</si>
  <si>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</si>
  <si>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</si>
  <si>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QRT-6611009</t>
  </si>
  <si>
    <t>C-12934</t>
  </si>
  <si>
    <t>ตากใบทวีทรัพย์</t>
  </si>
  <si>
    <t>ฮามะนาเส เจ๊ะเงาะ</t>
  </si>
  <si>
    <t>01 | เงินในบัญชีไม่พอจ่าย</t>
  </si>
  <si>
    <t>วันที่  13.12.66 คุณมักตา แจ้งลูกค้านัดทยอยโอน 23 และ 31/12/66</t>
  </si>
  <si>
    <t>QRT-6612001</t>
  </si>
  <si>
    <t>C-00809</t>
  </si>
  <si>
    <t>เด่นเจริญ</t>
  </si>
  <si>
    <t>อัฐภูมิ ฤทธิเดช</t>
  </si>
  <si>
    <t>นัดโอนวันที่ 5.1.2567</t>
  </si>
  <si>
    <t>QRT-6702001</t>
  </si>
  <si>
    <t>C-00587</t>
  </si>
  <si>
    <t>ศุภสารการช่าง (หรั่ง) กาญจนดิษฐ์</t>
  </si>
  <si>
    <t>ลูกค้านัดโอนต้นเดือน มีนาคม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</si>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</sst>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"/>
  <sheetViews>
    <sheetView tabSelected="1" workbookViewId="0" showGridLines="true" showRowColHeaders="1">
      <selection activeCell="J6" sqref="J6:P6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45219.0</v>
      </c>
      <c r="C3" s="4" t="s">
        <v>16</v>
      </c>
      <c r="D3" s="3" t="s">
        <v>17</v>
      </c>
      <c r="E3" s="6">
        <v>45219.0</v>
      </c>
      <c r="F3" s="7">
        <v>147</v>
      </c>
      <c r="G3" s="3" t="s">
        <v>18</v>
      </c>
      <c r="H3" s="3" t="s">
        <v>19</v>
      </c>
      <c r="I3" s="4">
        <v>10000411</v>
      </c>
      <c r="J3" s="8">
        <v>49639.0</v>
      </c>
      <c r="K3" s="8">
        <v>0.0</v>
      </c>
      <c r="L3" s="9">
        <f>(J3-K3)</f>
        <v>49639</v>
      </c>
      <c r="M3" s="10">
        <f>(L3*0.03)</f>
        <v>1489.17</v>
      </c>
      <c r="N3" s="10">
        <f>(M3*0.7)</f>
        <v>1042.419</v>
      </c>
      <c r="O3" s="10">
        <f>(M3*0.2)</f>
        <v>297.834</v>
      </c>
      <c r="P3" s="10">
        <f>(M3*0.1)</f>
        <v>148.917</v>
      </c>
      <c r="Q3" s="3" t="s">
        <v>20</v>
      </c>
    </row>
    <row r="4" spans="1:17" customHeight="1" ht="18">
      <c r="A4" s="4" t="s">
        <v>21</v>
      </c>
      <c r="B4" s="6">
        <v>45286.0</v>
      </c>
      <c r="C4" s="4" t="s">
        <v>22</v>
      </c>
      <c r="D4" s="3" t="s">
        <v>23</v>
      </c>
      <c r="E4" s="6">
        <v>45280.0</v>
      </c>
      <c r="F4" s="7">
        <v>86</v>
      </c>
      <c r="G4" s="3" t="s">
        <v>24</v>
      </c>
      <c r="H4" s="3" t="s">
        <v>19</v>
      </c>
      <c r="I4" s="4">
        <v>195516</v>
      </c>
      <c r="J4" s="8">
        <v>11050.0</v>
      </c>
      <c r="K4" s="8">
        <v>5000.0</v>
      </c>
      <c r="L4" s="9">
        <f>(J4-K4)</f>
        <v>6050</v>
      </c>
      <c r="M4" s="10">
        <f>(L4*0.01)</f>
        <v>60.5</v>
      </c>
      <c r="N4" s="10">
        <f>(M4*0.7)</f>
        <v>42.35</v>
      </c>
      <c r="O4" s="10">
        <f>(M4*0.2)</f>
        <v>12.1</v>
      </c>
      <c r="P4" s="10">
        <f>(M4*0.1)</f>
        <v>6.05</v>
      </c>
      <c r="Q4" s="3" t="s">
        <v>25</v>
      </c>
    </row>
    <row r="5" spans="1:17" customHeight="1" ht="18">
      <c r="A5" s="4" t="s">
        <v>26</v>
      </c>
      <c r="B5" s="6">
        <v>45311.0</v>
      </c>
      <c r="C5" s="4" t="s">
        <v>27</v>
      </c>
      <c r="D5" s="3" t="s">
        <v>28</v>
      </c>
      <c r="E5" s="6">
        <v>45304.0</v>
      </c>
      <c r="F5" s="7">
        <v>62</v>
      </c>
      <c r="G5" s="3" t="s">
        <v>24</v>
      </c>
      <c r="H5" s="3" t="s">
        <v>19</v>
      </c>
      <c r="I5" s="4">
        <v>54767574</v>
      </c>
      <c r="J5" s="8">
        <v>20142.15</v>
      </c>
      <c r="K5" s="8">
        <v>0.0</v>
      </c>
      <c r="L5" s="9">
        <f>(J5-K5)</f>
        <v>20142.15</v>
      </c>
      <c r="M5" s="10">
        <f>(L5*0.01)</f>
        <v>201.4215</v>
      </c>
      <c r="N5" s="10">
        <f>(M5*0.7)</f>
        <v>140.99505</v>
      </c>
      <c r="O5" s="10">
        <f>(M5*0.2)</f>
        <v>40.2843</v>
      </c>
      <c r="P5" s="10">
        <f>(M5*0.1)</f>
        <v>20.14215</v>
      </c>
      <c r="Q5" s="3" t="s">
        <v>29</v>
      </c>
    </row>
    <row r="6" spans="1:17" customHeight="1" ht="18">
      <c r="A6" s="5" t="s">
        <v>30</v>
      </c>
      <c r="B6" s="5"/>
      <c r="C6" s="5"/>
      <c r="D6" s="5"/>
      <c r="E6" s="5"/>
      <c r="F6" s="5"/>
      <c r="G6" s="5"/>
      <c r="H6" s="5"/>
      <c r="I6" s="5"/>
      <c r="J6" s="11">
        <f>SUM(J3:J6)</f>
        <v>80831.15</v>
      </c>
      <c r="K6" s="11">
        <f>SUM(K3:K6)</f>
        <v>5000</v>
      </c>
      <c r="L6" s="9">
        <f>SUM(L3:L6)</f>
        <v>75831.15</v>
      </c>
      <c r="M6" s="9">
        <f>SUM(M3:M6)</f>
        <v>1751.0915</v>
      </c>
      <c r="N6" s="9">
        <f>SUM(N3:N6)</f>
        <v>1225.76405</v>
      </c>
      <c r="O6" s="9">
        <f>SUM(O3:O6)</f>
        <v>350.2183</v>
      </c>
      <c r="P6" s="9">
        <f>SUM(P3:P6)</f>
        <v>175.10915</v>
      </c>
      <c r="Q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6:I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2024-03-15T10:06:16+07:00</dcterms:created>
  <dcterms:modified xsi:type="dcterms:W3CDTF">2024-03-15T10:06:16+07:00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