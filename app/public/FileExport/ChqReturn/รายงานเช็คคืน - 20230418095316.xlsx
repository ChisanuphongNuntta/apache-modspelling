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<sst xmlns="http://schemas.openxmlformats.org/spreadsheetml/2006/main" uniqueCount="30">
  <si>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เลขที่
เอกสาร</t>
  </si>
  <si>
    <t>วันที่
เซลส์รับทราบ</t>
  </si>
  <si>
    <t>รหัสคู่ค้า</t>
  </si>
  <si>
    <t>ชื่อคู่ค้า</t>
  </si>
  <si>
    <t>วันที่
เช็คเด้ง</t>
  </si>
  <si>
    <t>เกินกำหนด
(วัน)</t>
  </si>
  <si>
    <t>พนักงานขาย</t>
  </si>
  <si>
    <t>สาเหตุ
เช็คเด้ง</t>
  </si>
  <si>
    <t>เลขที่เช็ค</t>
  </si>
  <si>
    <t>จำนวนเงิน
(บาท)</t>
  </si>
  <si>
    <t>ชำระมาแล้ว
(บาท)</t>
  </si>
  <si>
    <t>ยอดคงเหลือ
(บาท)</t>
  </si>
  <si>
    <t>ค่าปรับ (บาท)</t>
  </si>
  <si>
    <t>หมายเหตุ</t>
  </si>
  <si>
    <t>ทั้งหมด</t>
  </si>
  <si>
    <t>QRT-6601001</t>
  </si>
  <si>
    <t>C-10458</t>
  </si>
  <si>
    <t>ณัฏฐชัย อิเล็คทริค ซัพพลาย</t>
  </si>
  <si>
    <t>วชิรธรรม อ่วมทอน</t>
  </si>
  <si>
    <t>01 | เงินในบัญชีไม่พอจ่าย</t>
  </si>
  <si>
    <t>แจ้งคุณหรั่งให้เร่งติดตามยอดแล้ว</t>
  </si>
  <si>
    <t>QRT-6601004</t>
  </si>
  <si>
    <t>QRT-6602001</t>
  </si>
  <si>
    <t>QRT-6603001</t>
  </si>
  <si>
    <t>C-02188</t>
  </si>
  <si>
    <t>เคพีเจ. มอเตอร์</t>
  </si>
  <si>
    <t>QRT-6604002</t>
  </si>
  <si>
    <t>QRT-6604003</t>
  </si>
  <si>
    <t>QRT-6604001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</si>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</sst>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FF0000"/>
      <name val="Calibri"/>
    </font>
    <font>
      <b val="0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"/>
  <sheetViews>
    <sheetView tabSelected="1" workbookViewId="0" showGridLines="true" showRowColHeaders="1">
      <selection activeCell="J10" sqref="J10:P10"/>
    </sheetView>
  </sheetViews>
  <sheetFormatPr defaultRowHeight="14.4" defaultColWidth="12" outlineLevelRow="0" outlineLevelCol="0"/>
  <cols>
    <col min="1" max="1" width="16" customWidth="true" style="0"/>
    <col min="2" max="2" width="14" customWidth="true" style="0"/>
    <col min="4" max="4" width="66" customWidth="true" style="0"/>
    <col min="5" max="5" width="16" customWidth="true" style="0"/>
    <col min="6" max="6" width="14" customWidth="true" style="0"/>
    <col min="7" max="7" width="24" customWidth="true" style="0"/>
    <col min="8" max="8" width="32" customWidth="true" style="0"/>
    <col min="9" max="9" width="16" customWidth="true" style="0"/>
    <col min="10" max="10" width="14" customWidth="true" style="0"/>
    <col min="11" max="11" width="14" customWidth="true" style="0"/>
    <col min="12" max="12" width="14" customWidth="true" style="0"/>
    <col min="13" max="13" width="12" style="0"/>
    <col min="14" max="14" width="12" style="0"/>
    <col min="15" max="15" width="12" style="0"/>
    <col min="16" max="16" width="12" style="0"/>
    <col min="17" max="17" width="42.67" customWidth="true" style="0"/>
  </cols>
  <sheetData>
    <row r="1" spans="1:17" customHeight="1" ht="18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/>
      <c r="O1" s="2"/>
      <c r="P1" s="2"/>
      <c r="Q1" s="2" t="s">
        <v>13</v>
      </c>
    </row>
    <row r="2" spans="1:17" customHeight="1" ht="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14</v>
      </c>
      <c r="N2" s="2" t="s">
        <v>14</v>
      </c>
      <c r="O2" s="2" t="s">
        <v>14</v>
      </c>
      <c r="P2" s="2" t="s">
        <v>14</v>
      </c>
      <c r="Q2" s="2"/>
    </row>
    <row r="3" spans="1:17" customHeight="1" ht="18">
      <c r="A3" s="4" t="s">
        <v>15</v>
      </c>
      <c r="B3" s="6">
        <v>44936.0</v>
      </c>
      <c r="C3" s="4" t="s">
        <v>16</v>
      </c>
      <c r="D3" s="3" t="s">
        <v>17</v>
      </c>
      <c r="E3" s="6">
        <v>44936.0</v>
      </c>
      <c r="F3" s="7">
        <v>98</v>
      </c>
      <c r="G3" s="3" t="s">
        <v>18</v>
      </c>
      <c r="H3" s="3" t="s">
        <v>19</v>
      </c>
      <c r="I3" s="4">
        <v>8121000916</v>
      </c>
      <c r="J3" s="8">
        <v>24109.0</v>
      </c>
      <c r="K3" s="8">
        <v>0.0</v>
      </c>
      <c r="L3" s="9">
        <f>(J3-K3)</f>
        <v>24109</v>
      </c>
      <c r="M3" s="10">
        <f>(L3*0.03)</f>
        <v>723.27</v>
      </c>
      <c r="N3" s="10">
        <f>(M3*0.7)</f>
        <v>506.289</v>
      </c>
      <c r="O3" s="10">
        <f>(M3*0.2)</f>
        <v>144.654</v>
      </c>
      <c r="P3" s="10">
        <f>(M3*0.1)</f>
        <v>72.327</v>
      </c>
      <c r="Q3" s="3" t="s">
        <v>20</v>
      </c>
    </row>
    <row r="4" spans="1:17" customHeight="1" ht="18">
      <c r="A4" s="4" t="s">
        <v>21</v>
      </c>
      <c r="B4" s="6">
        <v>44949.0</v>
      </c>
      <c r="C4" s="4" t="s">
        <v>16</v>
      </c>
      <c r="D4" s="3" t="s">
        <v>17</v>
      </c>
      <c r="E4" s="6">
        <v>44942.0</v>
      </c>
      <c r="F4" s="7">
        <v>92</v>
      </c>
      <c r="G4" s="3" t="s">
        <v>18</v>
      </c>
      <c r="H4" s="3" t="s">
        <v>19</v>
      </c>
      <c r="I4" s="4">
        <v>83998881</v>
      </c>
      <c r="J4" s="8">
        <v>20000.0</v>
      </c>
      <c r="K4" s="8">
        <v>0.0</v>
      </c>
      <c r="L4" s="9">
        <f>(J4-K4)</f>
        <v>20000</v>
      </c>
      <c r="M4" s="10">
        <f>(L4*0.03)</f>
        <v>600</v>
      </c>
      <c r="N4" s="10">
        <f>(M4*0.7)</f>
        <v>420</v>
      </c>
      <c r="O4" s="10">
        <f>(M4*0.2)</f>
        <v>120</v>
      </c>
      <c r="P4" s="10">
        <f>(M4*0.1)</f>
        <v>60</v>
      </c>
      <c r="Q4" s="3" t="s">
        <v>20</v>
      </c>
    </row>
    <row r="5" spans="1:17" customHeight="1" ht="18">
      <c r="A5" s="4" t="s">
        <v>22</v>
      </c>
      <c r="B5" s="6">
        <v>44957.0</v>
      </c>
      <c r="C5" s="4" t="s">
        <v>16</v>
      </c>
      <c r="D5" s="3" t="s">
        <v>17</v>
      </c>
      <c r="E5" s="6">
        <v>44957.0</v>
      </c>
      <c r="F5" s="7">
        <v>77</v>
      </c>
      <c r="G5" s="3" t="s">
        <v>18</v>
      </c>
      <c r="H5" s="3" t="s">
        <v>19</v>
      </c>
      <c r="I5" s="4">
        <v>83998882</v>
      </c>
      <c r="J5" s="8">
        <v>18960.0</v>
      </c>
      <c r="K5" s="8">
        <v>0.0</v>
      </c>
      <c r="L5" s="9">
        <f>(J5-K5)</f>
        <v>18960</v>
      </c>
      <c r="M5" s="10">
        <f>(L5*0.01)</f>
        <v>189.6</v>
      </c>
      <c r="N5" s="10">
        <f>(M5*0.7)</f>
        <v>132.72</v>
      </c>
      <c r="O5" s="10">
        <f>(M5*0.2)</f>
        <v>37.92</v>
      </c>
      <c r="P5" s="10">
        <f>(M5*0.1)</f>
        <v>18.96</v>
      </c>
      <c r="Q5" s="3" t="s">
        <v>20</v>
      </c>
    </row>
    <row r="6" spans="1:17" customHeight="1" ht="18">
      <c r="A6" s="4" t="s">
        <v>23</v>
      </c>
      <c r="B6" s="6">
        <v>45002.0</v>
      </c>
      <c r="C6" s="4" t="s">
        <v>24</v>
      </c>
      <c r="D6" s="3" t="s">
        <v>25</v>
      </c>
      <c r="E6" s="6">
        <v>45002.0</v>
      </c>
      <c r="F6" s="7">
        <v>32</v>
      </c>
      <c r="G6" s="3" t="s">
        <v>18</v>
      </c>
      <c r="H6" s="3" t="s">
        <v>19</v>
      </c>
      <c r="I6" s="4">
        <v>80659346</v>
      </c>
      <c r="J6" s="8">
        <v>10000.0</v>
      </c>
      <c r="K6" s="8">
        <v>0.0</v>
      </c>
      <c r="L6" s="9">
        <f>(J6-K6)</f>
        <v>10000</v>
      </c>
      <c r="M6" s="10">
        <f>(L6*0.005)</f>
        <v>50</v>
      </c>
      <c r="N6" s="10">
        <f>(M6*0.7)</f>
        <v>35</v>
      </c>
      <c r="O6" s="10">
        <f>(M6*0.2)</f>
        <v>10</v>
      </c>
      <c r="P6" s="10">
        <f>(M6*0.1)</f>
        <v>5</v>
      </c>
      <c r="Q6" s="3" t="s">
        <v>20</v>
      </c>
    </row>
    <row r="7" spans="1:17" customHeight="1" ht="18">
      <c r="A7" s="4" t="s">
        <v>26</v>
      </c>
      <c r="B7" s="6">
        <v>45012.0</v>
      </c>
      <c r="C7" s="4" t="s">
        <v>24</v>
      </c>
      <c r="D7" s="3" t="s">
        <v>25</v>
      </c>
      <c r="E7" s="6">
        <v>45012.0</v>
      </c>
      <c r="F7" s="7">
        <v>22</v>
      </c>
      <c r="G7" s="3" t="s">
        <v>18</v>
      </c>
      <c r="H7" s="3" t="s">
        <v>19</v>
      </c>
      <c r="I7" s="4">
        <v>80659347</v>
      </c>
      <c r="J7" s="8">
        <v>11548.0</v>
      </c>
      <c r="K7" s="8">
        <v>0.0</v>
      </c>
      <c r="L7" s="9">
        <f>(J7-K7)</f>
        <v>11548</v>
      </c>
      <c r="M7" s="10">
        <f>(L7*0)</f>
        <v>0</v>
      </c>
      <c r="N7" s="10">
        <f>(M7*0.7)</f>
        <v>0</v>
      </c>
      <c r="O7" s="10">
        <f>(M7*0.2)</f>
        <v>0</v>
      </c>
      <c r="P7" s="10">
        <f>(M7*0.1)</f>
        <v>0</v>
      </c>
      <c r="Q7" s="3"/>
    </row>
    <row r="8" spans="1:17" customHeight="1" ht="18">
      <c r="A8" s="4" t="s">
        <v>27</v>
      </c>
      <c r="B8" s="6">
        <v>45012.0</v>
      </c>
      <c r="C8" s="4" t="s">
        <v>16</v>
      </c>
      <c r="D8" s="3" t="s">
        <v>17</v>
      </c>
      <c r="E8" s="6">
        <v>45012.0</v>
      </c>
      <c r="F8" s="7">
        <v>22</v>
      </c>
      <c r="G8" s="3" t="s">
        <v>18</v>
      </c>
      <c r="H8" s="3" t="s">
        <v>19</v>
      </c>
      <c r="I8" s="4">
        <v>83998922</v>
      </c>
      <c r="J8" s="8">
        <v>20029.0</v>
      </c>
      <c r="K8" s="8">
        <v>0.0</v>
      </c>
      <c r="L8" s="9">
        <f>(J8-K8)</f>
        <v>20029</v>
      </c>
      <c r="M8" s="10">
        <f>(L8*0)</f>
        <v>0</v>
      </c>
      <c r="N8" s="10">
        <f>(M8*0.7)</f>
        <v>0</v>
      </c>
      <c r="O8" s="10">
        <f>(M8*0.2)</f>
        <v>0</v>
      </c>
      <c r="P8" s="10">
        <f>(M8*0.1)</f>
        <v>0</v>
      </c>
      <c r="Q8" s="3"/>
    </row>
    <row r="9" spans="1:17" customHeight="1" ht="18">
      <c r="A9" s="4" t="s">
        <v>28</v>
      </c>
      <c r="B9" s="6">
        <v>45019.0</v>
      </c>
      <c r="C9" s="4" t="s">
        <v>24</v>
      </c>
      <c r="D9" s="3" t="s">
        <v>25</v>
      </c>
      <c r="E9" s="6">
        <v>45016.0</v>
      </c>
      <c r="F9" s="7">
        <v>18</v>
      </c>
      <c r="G9" s="3" t="s">
        <v>18</v>
      </c>
      <c r="H9" s="3" t="s">
        <v>19</v>
      </c>
      <c r="I9" s="4">
        <v>80659348</v>
      </c>
      <c r="J9" s="8">
        <v>10000.0</v>
      </c>
      <c r="K9" s="8">
        <v>0.0</v>
      </c>
      <c r="L9" s="9">
        <f>(J9-K9)</f>
        <v>10000</v>
      </c>
      <c r="M9" s="10">
        <f>(L9*0)</f>
        <v>0</v>
      </c>
      <c r="N9" s="10">
        <f>(M9*0.7)</f>
        <v>0</v>
      </c>
      <c r="O9" s="10">
        <f>(M9*0.2)</f>
        <v>0</v>
      </c>
      <c r="P9" s="10">
        <f>(M9*0.1)</f>
        <v>0</v>
      </c>
      <c r="Q9" s="3"/>
    </row>
    <row r="10" spans="1:17" customHeight="1" ht="18">
      <c r="A10" s="5" t="s">
        <v>29</v>
      </c>
      <c r="B10" s="5"/>
      <c r="C10" s="5"/>
      <c r="D10" s="5"/>
      <c r="E10" s="5"/>
      <c r="F10" s="5"/>
      <c r="G10" s="5"/>
      <c r="H10" s="5"/>
      <c r="I10" s="5"/>
      <c r="J10" s="11">
        <f>SUM(J3:J10)</f>
        <v>114646</v>
      </c>
      <c r="K10" s="11">
        <f>SUM(K3:K10)</f>
        <v>0</v>
      </c>
      <c r="L10" s="9">
        <f>SUM(L3:L10)</f>
        <v>114646</v>
      </c>
      <c r="M10" s="9">
        <f>SUM(M3:M10)</f>
        <v>1562.87</v>
      </c>
      <c r="N10" s="9">
        <f>SUM(N3:N10)</f>
        <v>1094.009</v>
      </c>
      <c r="O10" s="9">
        <f>SUM(O3:O10)</f>
        <v>312.574</v>
      </c>
      <c r="P10" s="9">
        <f>SUM(P3:P10)</f>
        <v>156.287</v>
      </c>
      <c r="Q10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P1"/>
    <mergeCell ref="Q1:Q2"/>
    <mergeCell ref="A10:I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จิราพร ระน้อย</dc:creator>
  <cp:lastModifiedBy>จิราพร ระน้อย</cp:lastModifiedBy>
  <dcterms:created xsi:type="dcterms:W3CDTF">2023-04-18T09:53:16+07:00</dcterms:created>
  <dcterms:modified xsi:type="dcterms:W3CDTF">2023-04-18T09:53:16+07:00</dcterms:modified>
  <dc:title>รายงานเช็คคืน บจ.คิงบางกอก อินเตอร์เทรด</dc:title>
  <dc:description/>
  <dc:subject>รายงานเช็คคืน บจ.คิงบางกอก อินเตอร์เทรด</dc:subject>
  <cp:keywords/>
  <cp:category/>
</cp:coreProperties>
</file>