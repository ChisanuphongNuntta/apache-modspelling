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<sst xmlns="http://schemas.openxmlformats.org/spreadsheetml/2006/main" uniqueCount="40">
  <si>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</si>
  <si>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</si>
  <si>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</si>
  <si>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</si>
  <si>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</si>
  <si>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</si>
  <si>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</si>
  <si>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</si>
  <si>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</si>
  <si>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</si>
  <si>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</si>
  <si>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</si>
  <si>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</si>
  <si>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</si>
  <si>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</si>
  <si>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QRT-6611002</t>
  </si>
  <si>
    <t>C-11879</t>
  </si>
  <si>
    <t>ปัญญาพูลทรัพย์</t>
  </si>
  <si>
    <t>อาริดา บุญเกียรติสกุล</t>
  </si>
  <si>
    <t>01 | เงินในบัญชีไม่พอจ่าย</t>
  </si>
  <si>
    <t>ใบนี้ตีแทนเช็คใบแรก เลขที่เช็ค10044702 ยอด 168,000 บาท</t>
  </si>
  <si>
    <t>QRT-6611005</t>
  </si>
  <si>
    <t>11 | มีคำสังให้ระงับจ่าย</t>
  </si>
  <si>
    <t>QRT-6611008</t>
  </si>
  <si>
    <t>C-00587</t>
  </si>
  <si>
    <t>ศุภสารการช่าง (หรั่ง) กาญจนดิษฐ์</t>
  </si>
  <si>
    <t>อัฐภูมิ ฤทธิเดช</t>
  </si>
  <si>
    <t>วันที่ 13.12.66 คุณอัฐแจ้งลูกค้านัดโอนบางส่วนยอด 10,000 บาท และส่วนที่เหลือจะจ่ายเป็นเช้คลง เดือน 1/67</t>
  </si>
  <si>
    <t>QRT-6611006</t>
  </si>
  <si>
    <t>QRT-6611009</t>
  </si>
  <si>
    <t>C-12934</t>
  </si>
  <si>
    <t>ตากใบทวีทรัพย์</t>
  </si>
  <si>
    <t>ฮามะนาเส เจ๊ะเงาะ</t>
  </si>
  <si>
    <t>วันที่  13.12.66 คุณมักตา แจ้งลูกค้านัดทยอยโอน 23 และ 31/12/66</t>
  </si>
  <si>
    <t>QRT-6611007</t>
  </si>
  <si>
    <t>QRT-6612001</t>
  </si>
  <si>
    <t>C-00809</t>
  </si>
  <si>
    <t>เด่นเจริญ</t>
  </si>
  <si>
    <t>นัดโอนวันที่ 5.1.2567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</si>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</sst>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"/>
  <sheetViews>
    <sheetView tabSelected="1" workbookViewId="0" showGridLines="true" showRowColHeaders="1">
      <selection activeCell="J10" sqref="J10:P10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45201.0</v>
      </c>
      <c r="C3" s="4" t="s">
        <v>16</v>
      </c>
      <c r="D3" s="3" t="s">
        <v>17</v>
      </c>
      <c r="E3" s="6">
        <v>45201.0</v>
      </c>
      <c r="F3" s="7">
        <v>105</v>
      </c>
      <c r="G3" s="3" t="s">
        <v>18</v>
      </c>
      <c r="H3" s="3" t="s">
        <v>19</v>
      </c>
      <c r="I3" s="4">
        <v>10044677</v>
      </c>
      <c r="J3" s="8">
        <v>168000.0</v>
      </c>
      <c r="K3" s="8">
        <v>68000.0</v>
      </c>
      <c r="L3" s="9">
        <f>(J3-K3)</f>
        <v>100000</v>
      </c>
      <c r="M3" s="10">
        <f>(L3*0.03)</f>
        <v>3000</v>
      </c>
      <c r="N3" s="10">
        <f>(M3*0.7)</f>
        <v>2100</v>
      </c>
      <c r="O3" s="10">
        <f>(M3*0.2)</f>
        <v>600</v>
      </c>
      <c r="P3" s="10">
        <f>(M3*0.1)</f>
        <v>300</v>
      </c>
      <c r="Q3" s="3" t="s">
        <v>20</v>
      </c>
    </row>
    <row r="4" spans="1:17" customHeight="1" ht="18">
      <c r="A4" s="4" t="s">
        <v>21</v>
      </c>
      <c r="B4" s="6">
        <v>45212.0</v>
      </c>
      <c r="C4" s="4" t="s">
        <v>16</v>
      </c>
      <c r="D4" s="3" t="s">
        <v>17</v>
      </c>
      <c r="E4" s="6">
        <v>45212.0</v>
      </c>
      <c r="F4" s="7">
        <v>94</v>
      </c>
      <c r="G4" s="3" t="s">
        <v>18</v>
      </c>
      <c r="H4" s="3" t="s">
        <v>22</v>
      </c>
      <c r="I4" s="4">
        <v>10044703</v>
      </c>
      <c r="J4" s="8">
        <v>85603.0</v>
      </c>
      <c r="K4" s="8">
        <v>0.0</v>
      </c>
      <c r="L4" s="9">
        <f>(J4-K4)</f>
        <v>85603</v>
      </c>
      <c r="M4" s="10">
        <f>(L4*0.03)</f>
        <v>2568.09</v>
      </c>
      <c r="N4" s="10">
        <f>(M4*0.7)</f>
        <v>1797.663</v>
      </c>
      <c r="O4" s="10">
        <f>(M4*0.2)</f>
        <v>513.618</v>
      </c>
      <c r="P4" s="10">
        <f>(M4*0.1)</f>
        <v>256.809</v>
      </c>
      <c r="Q4" s="3"/>
    </row>
    <row r="5" spans="1:17" customHeight="1" ht="18">
      <c r="A5" s="4" t="s">
        <v>23</v>
      </c>
      <c r="B5" s="6">
        <v>45218.0</v>
      </c>
      <c r="C5" s="4" t="s">
        <v>24</v>
      </c>
      <c r="D5" s="3" t="s">
        <v>25</v>
      </c>
      <c r="E5" s="6">
        <v>45218.0</v>
      </c>
      <c r="F5" s="7">
        <v>88</v>
      </c>
      <c r="G5" s="3" t="s">
        <v>26</v>
      </c>
      <c r="H5" s="3" t="s">
        <v>19</v>
      </c>
      <c r="I5" s="4">
        <v>54767520</v>
      </c>
      <c r="J5" s="8">
        <v>39012.55</v>
      </c>
      <c r="K5" s="8">
        <v>10000.0</v>
      </c>
      <c r="L5" s="9">
        <f>(J5-K5)</f>
        <v>29012.55</v>
      </c>
      <c r="M5" s="10">
        <f>(L5*0.01)</f>
        <v>290.1255</v>
      </c>
      <c r="N5" s="10">
        <f>(M5*0.7)</f>
        <v>203.08785</v>
      </c>
      <c r="O5" s="10">
        <f>(M5*0.2)</f>
        <v>58.0251</v>
      </c>
      <c r="P5" s="10">
        <f>(M5*0.1)</f>
        <v>29.01255</v>
      </c>
      <c r="Q5" s="3" t="s">
        <v>27</v>
      </c>
    </row>
    <row r="6" spans="1:17" customHeight="1" ht="18">
      <c r="A6" s="4" t="s">
        <v>28</v>
      </c>
      <c r="B6" s="6">
        <v>45219.0</v>
      </c>
      <c r="C6" s="4" t="s">
        <v>16</v>
      </c>
      <c r="D6" s="3" t="s">
        <v>17</v>
      </c>
      <c r="E6" s="6">
        <v>45219.0</v>
      </c>
      <c r="F6" s="7">
        <v>87</v>
      </c>
      <c r="G6" s="3" t="s">
        <v>18</v>
      </c>
      <c r="H6" s="3" t="s">
        <v>22</v>
      </c>
      <c r="I6" s="4">
        <v>10044704</v>
      </c>
      <c r="J6" s="8">
        <v>85603.0</v>
      </c>
      <c r="K6" s="8">
        <v>0.0</v>
      </c>
      <c r="L6" s="9">
        <f>(J6-K6)</f>
        <v>85603</v>
      </c>
      <c r="M6" s="10">
        <f>(L6*0.01)</f>
        <v>856.03</v>
      </c>
      <c r="N6" s="10">
        <f>(M6*0.7)</f>
        <v>599.221</v>
      </c>
      <c r="O6" s="10">
        <f>(M6*0.2)</f>
        <v>171.206</v>
      </c>
      <c r="P6" s="10">
        <f>(M6*0.1)</f>
        <v>85.603</v>
      </c>
      <c r="Q6" s="3"/>
    </row>
    <row r="7" spans="1:17" customHeight="1" ht="18">
      <c r="A7" s="4" t="s">
        <v>29</v>
      </c>
      <c r="B7" s="6">
        <v>45219.0</v>
      </c>
      <c r="C7" s="4" t="s">
        <v>30</v>
      </c>
      <c r="D7" s="3" t="s">
        <v>31</v>
      </c>
      <c r="E7" s="6">
        <v>45219.0</v>
      </c>
      <c r="F7" s="7">
        <v>87</v>
      </c>
      <c r="G7" s="3" t="s">
        <v>32</v>
      </c>
      <c r="H7" s="3" t="s">
        <v>19</v>
      </c>
      <c r="I7" s="4">
        <v>10000411</v>
      </c>
      <c r="J7" s="8">
        <v>49639.0</v>
      </c>
      <c r="K7" s="8">
        <v>0.0</v>
      </c>
      <c r="L7" s="9">
        <f>(J7-K7)</f>
        <v>49639</v>
      </c>
      <c r="M7" s="10">
        <f>(L7*0.01)</f>
        <v>496.39</v>
      </c>
      <c r="N7" s="10">
        <f>(M7*0.7)</f>
        <v>347.473</v>
      </c>
      <c r="O7" s="10">
        <f>(M7*0.2)</f>
        <v>99.278</v>
      </c>
      <c r="P7" s="10">
        <f>(M7*0.1)</f>
        <v>49.639</v>
      </c>
      <c r="Q7" s="3" t="s">
        <v>33</v>
      </c>
    </row>
    <row r="8" spans="1:17" customHeight="1" ht="18">
      <c r="A8" s="4" t="s">
        <v>34</v>
      </c>
      <c r="B8" s="6">
        <v>45226.0</v>
      </c>
      <c r="C8" s="4" t="s">
        <v>16</v>
      </c>
      <c r="D8" s="3" t="s">
        <v>17</v>
      </c>
      <c r="E8" s="6">
        <v>45226.0</v>
      </c>
      <c r="F8" s="7">
        <v>80</v>
      </c>
      <c r="G8" s="3" t="s">
        <v>18</v>
      </c>
      <c r="H8" s="3" t="s">
        <v>22</v>
      </c>
      <c r="I8" s="4">
        <v>10044705</v>
      </c>
      <c r="J8" s="8">
        <v>85603.0</v>
      </c>
      <c r="K8" s="8">
        <v>0.0</v>
      </c>
      <c r="L8" s="9">
        <f>(J8-K8)</f>
        <v>85603</v>
      </c>
      <c r="M8" s="10">
        <f>(L8*0.01)</f>
        <v>856.03</v>
      </c>
      <c r="N8" s="10">
        <f>(M8*0.7)</f>
        <v>599.221</v>
      </c>
      <c r="O8" s="10">
        <f>(M8*0.2)</f>
        <v>171.206</v>
      </c>
      <c r="P8" s="10">
        <f>(M8*0.1)</f>
        <v>85.603</v>
      </c>
      <c r="Q8" s="3"/>
    </row>
    <row r="9" spans="1:17" customHeight="1" ht="18">
      <c r="A9" s="4" t="s">
        <v>35</v>
      </c>
      <c r="B9" s="6">
        <v>45286.0</v>
      </c>
      <c r="C9" s="4" t="s">
        <v>36</v>
      </c>
      <c r="D9" s="3" t="s">
        <v>37</v>
      </c>
      <c r="E9" s="6">
        <v>45280.0</v>
      </c>
      <c r="F9" s="7">
        <v>26</v>
      </c>
      <c r="G9" s="3" t="s">
        <v>26</v>
      </c>
      <c r="H9" s="3" t="s">
        <v>19</v>
      </c>
      <c r="I9" s="4">
        <v>195516</v>
      </c>
      <c r="J9" s="8">
        <v>11050.0</v>
      </c>
      <c r="K9" s="8">
        <v>0.0</v>
      </c>
      <c r="L9" s="9">
        <f>(J9-K9)</f>
        <v>11050</v>
      </c>
      <c r="M9" s="10">
        <f>(L9*0)</f>
        <v>0</v>
      </c>
      <c r="N9" s="10">
        <f>(M9*0.7)</f>
        <v>0</v>
      </c>
      <c r="O9" s="10">
        <f>(M9*0.2)</f>
        <v>0</v>
      </c>
      <c r="P9" s="10">
        <f>(M9*0.1)</f>
        <v>0</v>
      </c>
      <c r="Q9" s="3" t="s">
        <v>38</v>
      </c>
    </row>
    <row r="10" spans="1:17" customHeight="1" ht="18">
      <c r="A10" s="5" t="s">
        <v>39</v>
      </c>
      <c r="B10" s="5"/>
      <c r="C10" s="5"/>
      <c r="D10" s="5"/>
      <c r="E10" s="5"/>
      <c r="F10" s="5"/>
      <c r="G10" s="5"/>
      <c r="H10" s="5"/>
      <c r="I10" s="5"/>
      <c r="J10" s="11">
        <f>SUM(J3:J10)</f>
        <v>524510.55</v>
      </c>
      <c r="K10" s="11">
        <f>SUM(K3:K10)</f>
        <v>78000</v>
      </c>
      <c r="L10" s="9">
        <f>SUM(L3:L10)</f>
        <v>446510.55</v>
      </c>
      <c r="M10" s="9">
        <f>SUM(M3:M10)</f>
        <v>8066.6655</v>
      </c>
      <c r="N10" s="9">
        <f>SUM(N3:N10)</f>
        <v>5646.66585</v>
      </c>
      <c r="O10" s="9">
        <f>SUM(O3:O10)</f>
        <v>1613.3331</v>
      </c>
      <c r="P10" s="9">
        <f>SUM(P3:P10)</f>
        <v>806.66655</v>
      </c>
      <c r="Q10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10:I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2024-01-15T13:29:20+07:00</dcterms:created>
  <dcterms:modified xsi:type="dcterms:W3CDTF">2024-01-15T13:29:20+07:00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