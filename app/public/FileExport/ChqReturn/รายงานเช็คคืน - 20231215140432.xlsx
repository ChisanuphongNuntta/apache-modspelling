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<sst xmlns="http://schemas.openxmlformats.org/spreadsheetml/2006/main" uniqueCount="40">
  <si>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</si>
  <si>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</si>
  <si>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</si>
  <si>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</si>
  <si>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</si>
  <si>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</si>
  <si>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</si>
  <si>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</si>
  <si>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</si>
  <si>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</si>
  <si>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</si>
  <si>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</si>
  <si>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</si>
  <si>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</si>
  <si>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</si>
  <si>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</si>
  <si>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</si>
  <si>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</si>
  <si>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</si>
  <si>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</si>
  <si>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</si>
  <si>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</si>
  <si>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</si>
  <si>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</si>
  <si>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</si>
  <si>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</si>
  <si>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</si>
  <si>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วันที่ 13.12.66 คุณอัฐแจ้งลูกค้านัดโอนบางส่วนยอด 10,000 บาท และส่วนที่เหลือจะจ่ายเป็นเช้คลง เดือน 1/67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</si>
  <si>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</si>
  <si>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</si>
  <si>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</si>
  <si>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</si>
  <si>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</si>
  <si>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วันที่  13.12.66 คุณมักตา แจ้งลูกค้านัดทยอยโอน 23 และ 31/12/66</t>
  </si>
  <si>
    <t>QRT-6611004</t>
  </si>
  <si>
    <t>C-02408</t>
  </si>
  <si>
    <t>ทวีศักดิ์ วัสดุก่อสร้าง</t>
  </si>
  <si>
    <t>วันที่ 13.12.66 คุณอ้อมแจ้งนัดโอนวันเสาร์ ที่ 16 ยอดทั้งหมด 39,093 บาทเช็คใบนี้ตีแทนเช็ค เลขที่ 10002877 ยอด 59,093 บาท</t>
  </si>
  <si>
    <t>QRT-6611007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</si>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</sst>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74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(L3*0.01)</f>
        <v>1000</v>
      </c>
      <c r="N3" s="10">
        <f>(M3*0.7)</f>
        <v>700</v>
      </c>
      <c r="O3" s="10">
        <f>(M3*0.2)</f>
        <v>200</v>
      </c>
      <c r="P3" s="10">
        <f>(M3*0.1)</f>
        <v>100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63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(L4*0.01)</f>
        <v>856.03</v>
      </c>
      <c r="N4" s="10">
        <f>(M4*0.7)</f>
        <v>599.221</v>
      </c>
      <c r="O4" s="10">
        <f>(M4*0.2)</f>
        <v>171.206</v>
      </c>
      <c r="P4" s="10">
        <f>(M4*0.1)</f>
        <v>85.603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57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(L5*0.005)</f>
        <v>195.06275</v>
      </c>
      <c r="N5" s="10">
        <f>(M5*0.7)</f>
        <v>136.543925</v>
      </c>
      <c r="O5" s="10">
        <f>(M5*0.2)</f>
        <v>39.01255</v>
      </c>
      <c r="P5" s="10">
        <f>(M5*0.1)</f>
        <v>19.506275</v>
      </c>
      <c r="Q5" s="3" t="s">
        <v>27</v>
      </c>
    </row>
    <row r="6" spans="1:17" customHeight="1" ht="18">
      <c r="A6" s="4" t="s">
        <v>28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56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(L6*0.005)</f>
        <v>428.015</v>
      </c>
      <c r="N6" s="10">
        <f>(M6*0.7)</f>
        <v>299.6105</v>
      </c>
      <c r="O6" s="10">
        <f>(M6*0.2)</f>
        <v>85.603</v>
      </c>
      <c r="P6" s="10">
        <f>(M6*0.1)</f>
        <v>42.8015</v>
      </c>
      <c r="Q6" s="3"/>
    </row>
    <row r="7" spans="1:17" customHeight="1" ht="18">
      <c r="A7" s="4" t="s">
        <v>29</v>
      </c>
      <c r="B7" s="6">
        <v>45219.0</v>
      </c>
      <c r="C7" s="4" t="s">
        <v>30</v>
      </c>
      <c r="D7" s="3" t="s">
        <v>31</v>
      </c>
      <c r="E7" s="6">
        <v>45219.0</v>
      </c>
      <c r="F7" s="7">
        <v>56</v>
      </c>
      <c r="G7" s="3" t="s">
        <v>32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(L7*0.005)</f>
        <v>248.195</v>
      </c>
      <c r="N7" s="10">
        <f>(M7*0.7)</f>
        <v>173.7365</v>
      </c>
      <c r="O7" s="10">
        <f>(M7*0.2)</f>
        <v>49.639</v>
      </c>
      <c r="P7" s="10">
        <f>(M7*0.1)</f>
        <v>24.8195</v>
      </c>
      <c r="Q7" s="3" t="s">
        <v>33</v>
      </c>
    </row>
    <row r="8" spans="1:17" customHeight="1" ht="18">
      <c r="A8" s="4" t="s">
        <v>34</v>
      </c>
      <c r="B8" s="6">
        <v>45224.0</v>
      </c>
      <c r="C8" s="4" t="s">
        <v>35</v>
      </c>
      <c r="D8" s="3" t="s">
        <v>36</v>
      </c>
      <c r="E8" s="6">
        <v>45224.0</v>
      </c>
      <c r="F8" s="7">
        <v>51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20000.0</v>
      </c>
      <c r="L8" s="9">
        <f>(J8-K8)</f>
        <v>39093</v>
      </c>
      <c r="M8" s="10">
        <f>(L8*0.005)</f>
        <v>195.465</v>
      </c>
      <c r="N8" s="10">
        <f>(M8*0.7)</f>
        <v>136.8255</v>
      </c>
      <c r="O8" s="10">
        <f>(M8*0.2)</f>
        <v>39.093</v>
      </c>
      <c r="P8" s="10">
        <f>(M8*0.1)</f>
        <v>19.5465</v>
      </c>
      <c r="Q8" s="3" t="s">
        <v>37</v>
      </c>
    </row>
    <row r="9" spans="1:17" customHeight="1" ht="18">
      <c r="A9" s="4" t="s">
        <v>38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49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(L9*0.005)</f>
        <v>428.015</v>
      </c>
      <c r="N9" s="10">
        <f>(M9*0.7)</f>
        <v>299.6105</v>
      </c>
      <c r="O9" s="10">
        <f>(M9*0.2)</f>
        <v>85.603</v>
      </c>
      <c r="P9" s="10">
        <f>(M9*0.1)</f>
        <v>42.8015</v>
      </c>
      <c r="Q9" s="3"/>
    </row>
    <row r="10" spans="1:17" customHeight="1" ht="18">
      <c r="A10" s="5" t="s">
        <v>39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572553.55</v>
      </c>
      <c r="K10" s="11">
        <f>SUM(K3:K10)</f>
        <v>88000</v>
      </c>
      <c r="L10" s="9">
        <f>SUM(L3:L10)</f>
        <v>484553.55</v>
      </c>
      <c r="M10" s="9">
        <f>SUM(M3:M10)</f>
        <v>3350.78275</v>
      </c>
      <c r="N10" s="9">
        <f>SUM(N3:N10)</f>
        <v>2345.547925</v>
      </c>
      <c r="O10" s="9">
        <f>SUM(O3:O10)</f>
        <v>670.15655</v>
      </c>
      <c r="P10" s="9">
        <f>SUM(P3:P10)</f>
        <v>335.078275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2023-12-15T14:04:32+07:00</dcterms:created>
  <dcterms:modified xsi:type="dcterms:W3CDTF">2023-12-15T14:04:32+07:00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