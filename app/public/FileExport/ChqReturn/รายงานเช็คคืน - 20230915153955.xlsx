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<sst xmlns="http://schemas.openxmlformats.org/spreadsheetml/2006/main" uniqueCount="21">
  <si>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เลขที่
เอกสาร</t>
  </si>
  <si>
    <t>วันที่
เซลส์รับทราบ</t>
  </si>
  <si>
    <t>รหัสคู่ค้า</t>
  </si>
  <si>
    <t>ชื่อคู่ค้า</t>
  </si>
  <si>
    <t>วันที่
เช็คเด้ง</t>
  </si>
  <si>
    <t>เกินกำหนด
(วัน)</t>
  </si>
  <si>
    <t>พนักงานขาย</t>
  </si>
  <si>
    <t>สาเหตุ
เช็คเด้ง</t>
  </si>
  <si>
    <t>เลขที่เช็ค</t>
  </si>
  <si>
    <t>จำนวนเงิน
(บาท)</t>
  </si>
  <si>
    <t>ชำระมาแล้ว
(บาท)</t>
  </si>
  <si>
    <t>ยอดคงเหลือ
(บาท)</t>
  </si>
  <si>
    <t>ค่าปรับ (บาท)</t>
  </si>
  <si>
    <t>หมายเหตุ</t>
  </si>
  <si>
    <t>ทั้งหมด</t>
  </si>
  <si>
    <t>QRT-6609001</t>
  </si>
  <si>
    <t>C-12033</t>
  </si>
  <si>
    <t>เฉิงกง พีเค แมชชีน ทูลส์ จำกัด</t>
  </si>
  <si>
    <t>ลักษิกา พวงแก้ว</t>
  </si>
  <si>
    <t>13 | เช็คสั่งจ่ายผิดปกติ/เช็คสั่งจ่ายไม่ถูกต้อง</t>
  </si>
  <si>
    <t>รวมทั้งหมด</t>
  </si>
</sst>
</file>

<file path=xl/styles.xml><?xml version="1.0" encoding="utf-8"?>
<styleSheet xmlns="http://schemas.openxmlformats.org/spreadsheetml/2006/main" xml:space="preserve">
  <numFmts count="2">
    <numFmt numFmtId="164" formatCode="dd/mm/yyyy"/>
    <numFmt numFmtId="165" formatCode="#,##"/>
  </numFmts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8"/>
      <color rgb="FFFF0000"/>
      <name val="Calibri"/>
    </font>
    <font>
      <b val="0"/>
      <i val="0"/>
      <strike val="0"/>
      <u val="none"/>
      <sz val="8"/>
      <color rgb="FFFF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165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3" numFmtId="4" fillId="0" borderId="0" applyFont="1" applyNumberFormat="1" applyFill="0" applyBorder="0" applyAlignment="1">
      <alignment horizontal="right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4"/>
  <sheetViews>
    <sheetView tabSelected="1" workbookViewId="0" showGridLines="true" showRowColHeaders="1">
      <selection activeCell="J4" sqref="J4:P4"/>
    </sheetView>
  </sheetViews>
  <sheetFormatPr defaultRowHeight="14.4" defaultColWidth="12" outlineLevelRow="0" outlineLevelCol="0"/>
  <cols>
    <col min="1" max="1" width="16" customWidth="true" style="0"/>
    <col min="2" max="2" width="14" customWidth="true" style="0"/>
    <col min="4" max="4" width="66" customWidth="true" style="0"/>
    <col min="5" max="5" width="16" customWidth="true" style="0"/>
    <col min="6" max="6" width="14" customWidth="true" style="0"/>
    <col min="7" max="7" width="24" customWidth="true" style="0"/>
    <col min="8" max="8" width="32" customWidth="true" style="0"/>
    <col min="9" max="9" width="16" customWidth="true" style="0"/>
    <col min="10" max="10" width="14" customWidth="true" style="0"/>
    <col min="11" max="11" width="14" customWidth="true" style="0"/>
    <col min="12" max="12" width="14" customWidth="true" style="0"/>
    <col min="13" max="13" width="12" style="0"/>
    <col min="14" max="14" width="12" style="0"/>
    <col min="15" max="15" width="12" style="0"/>
    <col min="16" max="16" width="12" style="0"/>
    <col min="17" max="17" width="42.67" customWidth="true" style="0"/>
  </cols>
  <sheetData>
    <row r="1" spans="1:17" customHeight="1" ht="18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/>
      <c r="O1" s="2"/>
      <c r="P1" s="2"/>
      <c r="Q1" s="2" t="s">
        <v>13</v>
      </c>
    </row>
    <row r="2" spans="1:17" customHeight="1" ht="18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 t="s">
        <v>14</v>
      </c>
      <c r="N2" s="2" t="s">
        <v>14</v>
      </c>
      <c r="O2" s="2" t="s">
        <v>14</v>
      </c>
      <c r="P2" s="2" t="s">
        <v>14</v>
      </c>
      <c r="Q2" s="2"/>
    </row>
    <row r="3" spans="1:17" customHeight="1" ht="18">
      <c r="A3" s="4" t="s">
        <v>15</v>
      </c>
      <c r="B3" s="6">
        <v>45118.0</v>
      </c>
      <c r="C3" s="4" t="s">
        <v>16</v>
      </c>
      <c r="D3" s="3" t="s">
        <v>17</v>
      </c>
      <c r="E3" s="6">
        <v>45117.0</v>
      </c>
      <c r="F3" s="7">
        <v>67</v>
      </c>
      <c r="G3" s="3" t="s">
        <v>18</v>
      </c>
      <c r="H3" s="3" t="s">
        <v>19</v>
      </c>
      <c r="I3" s="4">
        <v>14267</v>
      </c>
      <c r="J3" s="8">
        <v>24625.0</v>
      </c>
      <c r="K3" s="8">
        <v>0.0</v>
      </c>
      <c r="L3" s="9">
        <f>(J3-K3)</f>
        <v>24625</v>
      </c>
      <c r="M3" s="10">
        <f>(L3*0.01)</f>
        <v>246.25</v>
      </c>
      <c r="N3" s="10">
        <f>(M3*0.7)</f>
        <v>172.375</v>
      </c>
      <c r="O3" s="10">
        <f>(M3*0.2)</f>
        <v>49.25</v>
      </c>
      <c r="P3" s="10">
        <f>(M3*0.1)</f>
        <v>24.625</v>
      </c>
      <c r="Q3" s="3"/>
    </row>
    <row r="4" spans="1:17" customHeight="1" ht="18">
      <c r="A4" s="5" t="s">
        <v>20</v>
      </c>
      <c r="B4" s="5"/>
      <c r="C4" s="5"/>
      <c r="D4" s="5"/>
      <c r="E4" s="5"/>
      <c r="F4" s="5"/>
      <c r="G4" s="5"/>
      <c r="H4" s="5"/>
      <c r="I4" s="5"/>
      <c r="J4" s="11">
        <f>SUM(J3:J4)</f>
        <v>24625</v>
      </c>
      <c r="K4" s="11">
        <f>SUM(K3:K4)</f>
        <v>0</v>
      </c>
      <c r="L4" s="9">
        <f>SUM(L3:L4)</f>
        <v>24625</v>
      </c>
      <c r="M4" s="9">
        <f>SUM(M3:M4)</f>
        <v>246.25</v>
      </c>
      <c r="N4" s="9">
        <f>SUM(N3:N4)</f>
        <v>172.375</v>
      </c>
      <c r="O4" s="9">
        <f>SUM(O3:O4)</f>
        <v>49.25</v>
      </c>
      <c r="P4" s="9">
        <f>SUM(P3:P4)</f>
        <v>24.625</v>
      </c>
      <c r="Q4" s="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P1"/>
    <mergeCell ref="Q1:Q2"/>
    <mergeCell ref="A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จิราพร ระน้อย</dc:creator>
  <cp:lastModifiedBy>จิราพร ระน้อย</cp:lastModifiedBy>
  <dcterms:created xsi:type="dcterms:W3CDTF">2023-09-15T15:39:55+07:00</dcterms:created>
  <dcterms:modified xsi:type="dcterms:W3CDTF">2023-09-15T15:39:55+07:00</dcterms:modified>
  <dc:title>รายงานเช็คคืน บจ.คิงบางกอก อินเตอร์เทรด</dc:title>
  <dc:description/>
  <dc:subject>รายงานเช็คคืน บจ.คิงบางกอก อินเตอร์เทรด</dc:subject>
  <cp:keywords/>
  <cp:category/>
</cp:coreProperties>
</file>