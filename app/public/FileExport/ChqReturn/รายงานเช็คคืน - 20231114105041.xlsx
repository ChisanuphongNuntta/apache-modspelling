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<sst xmlns="http://schemas.openxmlformats.org/spreadsheetml/2006/main" uniqueCount="27">
  <si>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</si>
  <si>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</si>
  <si>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</si>
  <si>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</si>
  <si>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</si>
  <si>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</si>
  <si>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</si>
  <si>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</si>
  <si>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</si>
  <si>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</si>
  <si>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</si>
  <si>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</si>
  <si>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</si>
  <si>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</si>
  <si>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</si>
  <si>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QRT-6609002</t>
  </si>
  <si>
    <t>C-02408</t>
  </si>
  <si>
    <t>ทวีศักดิ์ วัสดุก่อสร้าง</t>
  </si>
  <si>
    <t>อาริดา บุญเกียรติสกุล</t>
  </si>
  <si>
    <t>01 | เงินในบัญชีไม่พอจ่าย</t>
  </si>
  <si>
    <t>ตีเช้คใบใหม่ลงวันที่ 25.10.2566</t>
  </si>
  <si>
    <t>QRT-6609005</t>
  </si>
  <si>
    <t>C-11879</t>
  </si>
  <si>
    <t>ปัญญาพูลทรัพย์</t>
  </si>
  <si>
    <t>11 | มีคำสังให้ระงับจ่าย</t>
  </si>
  <si>
    <t>ตีเช้คใบใหม่ ลวท.20.10.66 ยอด 68,000 และ 28.11.66 ยอด 100,000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</si>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</sst>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"/>
  <sheetViews>
    <sheetView tabSelected="1" workbookViewId="0" showGridLines="true" showRowColHeaders="1">
      <selection activeCell="J5" sqref="J5:P5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45169.0</v>
      </c>
      <c r="C3" s="4" t="s">
        <v>16</v>
      </c>
      <c r="D3" s="3" t="s">
        <v>17</v>
      </c>
      <c r="E3" s="6">
        <v>45164.0</v>
      </c>
      <c r="F3" s="7">
        <v>80</v>
      </c>
      <c r="G3" s="3" t="s">
        <v>18</v>
      </c>
      <c r="H3" s="3" t="s">
        <v>19</v>
      </c>
      <c r="I3" s="4">
        <v>10002877</v>
      </c>
      <c r="J3" s="8">
        <v>59093.0</v>
      </c>
      <c r="K3" s="8">
        <v>0.0</v>
      </c>
      <c r="L3" s="9">
        <f>(J3-K3)</f>
        <v>59093</v>
      </c>
      <c r="M3" s="10">
        <f>(L3*0.01)</f>
        <v>590.93</v>
      </c>
      <c r="N3" s="10">
        <f>(M3*0.7)</f>
        <v>413.651</v>
      </c>
      <c r="O3" s="10">
        <f>(M3*0.2)</f>
        <v>118.186</v>
      </c>
      <c r="P3" s="10">
        <f>(M3*0.1)</f>
        <v>59.093</v>
      </c>
      <c r="Q3" s="3" t="s">
        <v>20</v>
      </c>
    </row>
    <row r="4" spans="1:17" customHeight="1" ht="18">
      <c r="A4" s="4" t="s">
        <v>21</v>
      </c>
      <c r="B4" s="6">
        <v>45190.0</v>
      </c>
      <c r="C4" s="4" t="s">
        <v>22</v>
      </c>
      <c r="D4" s="3" t="s">
        <v>23</v>
      </c>
      <c r="E4" s="6">
        <v>45190.0</v>
      </c>
      <c r="F4" s="7">
        <v>54</v>
      </c>
      <c r="G4" s="3"/>
      <c r="H4" s="3" t="s">
        <v>24</v>
      </c>
      <c r="I4" s="4">
        <v>10044702</v>
      </c>
      <c r="J4" s="8">
        <v>168000.0</v>
      </c>
      <c r="K4" s="8">
        <v>0.0</v>
      </c>
      <c r="L4" s="9">
        <f>(J4-K4)</f>
        <v>168000</v>
      </c>
      <c r="M4" s="10">
        <f>(L4*0.005)</f>
        <v>840</v>
      </c>
      <c r="N4" s="10">
        <f>(M4*0.7)</f>
        <v>588</v>
      </c>
      <c r="O4" s="10">
        <f>(M4*0.2)</f>
        <v>168</v>
      </c>
      <c r="P4" s="10">
        <f>(M4*0.1)</f>
        <v>84</v>
      </c>
      <c r="Q4" s="3" t="s">
        <v>25</v>
      </c>
    </row>
    <row r="5" spans="1:17" customHeight="1" ht="18">
      <c r="A5" s="5" t="s">
        <v>26</v>
      </c>
      <c r="B5" s="5"/>
      <c r="C5" s="5"/>
      <c r="D5" s="5"/>
      <c r="E5" s="5"/>
      <c r="F5" s="5"/>
      <c r="G5" s="5"/>
      <c r="H5" s="5"/>
      <c r="I5" s="5"/>
      <c r="J5" s="11">
        <f>SUM(J3:J5)</f>
        <v>227093</v>
      </c>
      <c r="K5" s="11">
        <f>SUM(K3:K5)</f>
        <v>0</v>
      </c>
      <c r="L5" s="9">
        <f>SUM(L3:L5)</f>
        <v>227093</v>
      </c>
      <c r="M5" s="9">
        <f>SUM(M3:M5)</f>
        <v>1430.93</v>
      </c>
      <c r="N5" s="9">
        <f>SUM(N3:N5)</f>
        <v>1001.651</v>
      </c>
      <c r="O5" s="9">
        <f>SUM(O3:O5)</f>
        <v>286.186</v>
      </c>
      <c r="P5" s="9">
        <f>SUM(P3:P5)</f>
        <v>143.093</v>
      </c>
      <c r="Q5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5:I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2023-11-14T10:50:41+07:00</dcterms:created>
  <dcterms:modified xsi:type="dcterms:W3CDTF">2023-11-14T10:50:41+07:00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