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<sst xmlns="http://schemas.openxmlformats.org/spreadsheetml/2006/main" uniqueCount="37">
  <si>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</si>
  <si>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</si>
  <si>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</si>
  <si>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</si>
  <si>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</si>
  <si>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</si>
  <si>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</si>
  <si>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</si>
  <si>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</si>
  <si>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</si>
  <si>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</si>
  <si>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</si>
  <si>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</si>
  <si>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</si>
  <si>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</si>
  <si>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QRT-6704001</t>
  </si>
  <si>
    <t>C-12310</t>
  </si>
  <si>
    <t>รับทรัพย์</t>
  </si>
  <si>
    <t>ยุพิน ฟักเทศ</t>
  </si>
  <si>
    <t>01 | เงินในบัญชีไม่พอจ่าย</t>
  </si>
  <si>
    <t xml:space="preserve">29/4/67 คุณกวางแจ้งจะเข้าพบลูกค้าต้นเดือน 5 / 2.4.67 คุณกวางแจ้งจะเข้าเคลียร์กับลูกค้า </t>
  </si>
  <si>
    <t>QRT-6611009</t>
  </si>
  <si>
    <t>C-12934</t>
  </si>
  <si>
    <t>ตากใบทวีทรัพย์</t>
  </si>
  <si>
    <t>ฮามะนาเส เจ๊ะเงาะ</t>
  </si>
  <si>
    <t>29/4/67 ติดต่อลูกค้าได้แล้ว แจ้งช่วงนี้ติดงานศพ ให้โทรใหม่ต้นเดือน 5 / 5.4.67 โทรติดต่อลูกค้าไม่รับสาย / 27.3.67 โทรไปติดต่อหาเจ้แล้ว ลูกค้าแจ้งนัดโอน 1.4.67 เนื่องจากรอเงินค่าางวดลูกค้าออก 20.3.67 นัดโอนบางส่วน 10,000 บาท และยอดที่เหลือนัดโอวันที่ 2</t>
  </si>
  <si>
    <t>QRT-6612001</t>
  </si>
  <si>
    <t>C-00809</t>
  </si>
  <si>
    <t>เด่นเจริญ</t>
  </si>
  <si>
    <t>อัฐภูมิ ฤทธิเดช</t>
  </si>
  <si>
    <t>29.4.67 โทรติดต่อลูกค้าได้แล้ว นัดโอน ยอด 2000 บาท วันที่ 2.5.67 เนื่องจาก ร้านค้าขาดสภาพคล่อง / 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 วันที่ 28 โทรติดต่อไม่มีคนรั</t>
  </si>
  <si>
    <t>QRT-6702001</t>
  </si>
  <si>
    <t>C-00587</t>
  </si>
  <si>
    <t>ศุภสารการช่าง (หรั่ง) กาญจนดิษฐ์</t>
  </si>
  <si>
    <t>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</si>
  <si>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QRT-6704002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</si>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</sst>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45384.0</v>
      </c>
      <c r="C3" s="4" t="s">
        <v>16</v>
      </c>
      <c r="D3" s="3" t="s">
        <v>17</v>
      </c>
      <c r="E3" s="6">
        <v>45016.0</v>
      </c>
      <c r="F3" s="7">
        <v>411</v>
      </c>
      <c r="G3" s="3" t="s">
        <v>18</v>
      </c>
      <c r="H3" s="3" t="s">
        <v>19</v>
      </c>
      <c r="I3" s="4">
        <v>10000041</v>
      </c>
      <c r="J3" s="8">
        <v>40600.0</v>
      </c>
      <c r="K3" s="8">
        <v>0.0</v>
      </c>
      <c r="L3" s="9">
        <f>(J3-K3)</f>
        <v>40600</v>
      </c>
      <c r="M3" s="10">
        <f>(L3*0.03)</f>
        <v>1218</v>
      </c>
      <c r="N3" s="10">
        <f>(M3*0.7)</f>
        <v>852.6</v>
      </c>
      <c r="O3" s="10">
        <f>(M3*0.2)</f>
        <v>243.6</v>
      </c>
      <c r="P3" s="10">
        <f>(M3*0.1)</f>
        <v>121.8</v>
      </c>
      <c r="Q3" s="3" t="s">
        <v>20</v>
      </c>
    </row>
    <row r="4" spans="1:17" customHeight="1" ht="18">
      <c r="A4" s="4" t="s">
        <v>21</v>
      </c>
      <c r="B4" s="6">
        <v>45219.0</v>
      </c>
      <c r="C4" s="4" t="s">
        <v>22</v>
      </c>
      <c r="D4" s="3" t="s">
        <v>23</v>
      </c>
      <c r="E4" s="6">
        <v>45219.0</v>
      </c>
      <c r="F4" s="7">
        <v>208</v>
      </c>
      <c r="G4" s="3" t="s">
        <v>24</v>
      </c>
      <c r="H4" s="3" t="s">
        <v>19</v>
      </c>
      <c r="I4" s="4">
        <v>10000411</v>
      </c>
      <c r="J4" s="8">
        <v>49639.0</v>
      </c>
      <c r="K4" s="8">
        <v>37065.93</v>
      </c>
      <c r="L4" s="9">
        <f>(J4-K4)</f>
        <v>12573.07</v>
      </c>
      <c r="M4" s="10">
        <f>(L4*0.03)</f>
        <v>377.1921</v>
      </c>
      <c r="N4" s="10">
        <f>(M4*0.7)</f>
        <v>264.03447</v>
      </c>
      <c r="O4" s="10">
        <f>(M4*0.2)</f>
        <v>75.43842</v>
      </c>
      <c r="P4" s="10">
        <f>(M4*0.1)</f>
        <v>37.71921</v>
      </c>
      <c r="Q4" s="3" t="s">
        <v>25</v>
      </c>
    </row>
    <row r="5" spans="1:17" customHeight="1" ht="18">
      <c r="A5" s="4" t="s">
        <v>26</v>
      </c>
      <c r="B5" s="6">
        <v>45286.0</v>
      </c>
      <c r="C5" s="4" t="s">
        <v>27</v>
      </c>
      <c r="D5" s="3" t="s">
        <v>28</v>
      </c>
      <c r="E5" s="6">
        <v>45280.0</v>
      </c>
      <c r="F5" s="7">
        <v>147</v>
      </c>
      <c r="G5" s="3" t="s">
        <v>29</v>
      </c>
      <c r="H5" s="3" t="s">
        <v>19</v>
      </c>
      <c r="I5" s="4">
        <v>195516</v>
      </c>
      <c r="J5" s="8">
        <v>11050.0</v>
      </c>
      <c r="K5" s="8">
        <v>7000.0</v>
      </c>
      <c r="L5" s="9">
        <f>(J5-K5)</f>
        <v>4050</v>
      </c>
      <c r="M5" s="10">
        <f>(L5*0.03)</f>
        <v>121.5</v>
      </c>
      <c r="N5" s="10">
        <f>(M5*0.7)</f>
        <v>85.05</v>
      </c>
      <c r="O5" s="10">
        <f>(M5*0.2)</f>
        <v>24.3</v>
      </c>
      <c r="P5" s="10">
        <f>(M5*0.1)</f>
        <v>12.15</v>
      </c>
      <c r="Q5" s="3" t="s">
        <v>30</v>
      </c>
    </row>
    <row r="6" spans="1:17" customHeight="1" ht="18">
      <c r="A6" s="4" t="s">
        <v>31</v>
      </c>
      <c r="B6" s="6">
        <v>45311.0</v>
      </c>
      <c r="C6" s="4" t="s">
        <v>32</v>
      </c>
      <c r="D6" s="3" t="s">
        <v>33</v>
      </c>
      <c r="E6" s="6">
        <v>45304.0</v>
      </c>
      <c r="F6" s="7">
        <v>123</v>
      </c>
      <c r="G6" s="3" t="s">
        <v>29</v>
      </c>
      <c r="H6" s="3" t="s">
        <v>19</v>
      </c>
      <c r="I6" s="4">
        <v>54767574</v>
      </c>
      <c r="J6" s="8">
        <v>20142.15</v>
      </c>
      <c r="K6" s="8">
        <v>10142.14</v>
      </c>
      <c r="L6" s="9">
        <f>(J6-K6)</f>
        <v>10000.01</v>
      </c>
      <c r="M6" s="10">
        <f>(L6*0.03)</f>
        <v>300.0003</v>
      </c>
      <c r="N6" s="10">
        <f>(M6*0.7)</f>
        <v>210.00021</v>
      </c>
      <c r="O6" s="10">
        <f>(M6*0.2)</f>
        <v>60.00006</v>
      </c>
      <c r="P6" s="10">
        <f>(M6*0.1)</f>
        <v>30.00003</v>
      </c>
      <c r="Q6" s="3" t="s">
        <v>34</v>
      </c>
    </row>
    <row r="7" spans="1:17" customHeight="1" ht="18">
      <c r="A7" s="4" t="s">
        <v>35</v>
      </c>
      <c r="B7" s="6">
        <v>45404.0</v>
      </c>
      <c r="C7" s="4" t="s">
        <v>32</v>
      </c>
      <c r="D7" s="3" t="s">
        <v>33</v>
      </c>
      <c r="E7" s="6">
        <v>45404.0</v>
      </c>
      <c r="F7" s="7">
        <v>23</v>
      </c>
      <c r="G7" s="3" t="s">
        <v>29</v>
      </c>
      <c r="H7" s="3" t="s">
        <v>19</v>
      </c>
      <c r="I7" s="4">
        <v>54767607</v>
      </c>
      <c r="J7" s="8">
        <v>20099.74</v>
      </c>
      <c r="K7" s="8">
        <v>0.0</v>
      </c>
      <c r="L7" s="9">
        <f>(J7-K7)</f>
        <v>20099.74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 t="s">
        <v>34</v>
      </c>
    </row>
    <row r="8" spans="1:17" customHeight="1" ht="18">
      <c r="A8" s="5" t="s">
        <v>36</v>
      </c>
      <c r="B8" s="5"/>
      <c r="C8" s="5"/>
      <c r="D8" s="5"/>
      <c r="E8" s="5"/>
      <c r="F8" s="5"/>
      <c r="G8" s="5"/>
      <c r="H8" s="5"/>
      <c r="I8" s="5"/>
      <c r="J8" s="11">
        <f>SUM(J3:J8)</f>
        <v>141530.89</v>
      </c>
      <c r="K8" s="11">
        <f>SUM(K3:K8)</f>
        <v>54208.07</v>
      </c>
      <c r="L8" s="9">
        <f>SUM(L3:L8)</f>
        <v>87322.82</v>
      </c>
      <c r="M8" s="9">
        <f>SUM(M3:M8)</f>
        <v>2016.6924</v>
      </c>
      <c r="N8" s="9">
        <f>SUM(N3:N8)</f>
        <v>1411.68468</v>
      </c>
      <c r="O8" s="9">
        <f>SUM(O3:O8)</f>
        <v>403.33848</v>
      </c>
      <c r="P8" s="9">
        <f>SUM(P3:P8)</f>
        <v>201.66924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2024-05-15T11:14:16+07:00</dcterms:created>
  <dcterms:modified xsi:type="dcterms:W3CDTF">2024-05-15T11:14:16+07:00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