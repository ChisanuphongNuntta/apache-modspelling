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<sst xmlns="http://schemas.openxmlformats.org/spreadsheetml/2006/main" uniqueCount="33">
  <si>
    <t>เลขที่
เอกสาร</t>
  </si>
  <si>
    <t>วันที่
เซลส์รับทราบ</t>
  </si>
  <si>
    <t>รหัสคู่ค้า</t>
  </si>
  <si>
    <t>ชื่อคู่ค้า</t>
  </si>
  <si>
    <t>วันที่
เช็คเด้ง</t>
  </si>
  <si>
    <t>เกินกำหนด
(วัน)</t>
  </si>
  <si>
    <t>พนักงานขาย</t>
  </si>
  <si>
    <t>สาเหตุ
เช็คเด้ง</t>
  </si>
  <si>
    <t>เลขที่เช็ค</t>
  </si>
  <si>
    <t>จำนวนเงิน
(บาท)</t>
  </si>
  <si>
    <t>ชำระมาแล้ว
(บาท)</t>
  </si>
  <si>
    <t>ยอดคงเหลือ
(บาท)</t>
  </si>
  <si>
    <t>ค่าปรับ (บาท)</t>
  </si>
  <si>
    <t>หมายเหตุ</t>
  </si>
  <si>
    <t>ทั้งหมด</t>
  </si>
  <si>
    <t>QRT-6611009</t>
  </si>
  <si>
    <t>C-12934</t>
  </si>
  <si>
    <t>ตากใบทวีทรัพย์</t>
  </si>
  <si>
    <t>ฮามะนาเส เจ๊ะเงาะ</t>
  </si>
  <si>
    <t>01 | เงินในบัญชีไม่พอจ่าย</t>
  </si>
  <si>
    <t>นัดโอนทั้งหมดไม่เกิน 30.6.67</t>
  </si>
  <si>
    <t>QRT-6612001</t>
  </si>
  <si>
    <t>C-00809</t>
  </si>
  <si>
    <t>เด่นเจริญ</t>
  </si>
  <si>
    <t>อัฐภูมิ ฤทธิเดช</t>
  </si>
  <si>
    <t>นัดโอนไม่เกิน 17.6.67  ทั้งหมด9.4.67 โทรติดต่อลูกค้าได้แล้ว นัดโอน ยอด 2000 บาท วันที่ 2.5.67 เนื่องจาก ร้านค้าขาดสภาพคล่อง / 5.4.67 โทรติดต่อลูกค้าไม่รับสาย / 30.3.67 โทรติดต่อเฮียเวลา 13.40 เฮียแจ้งว่าขณะนี้กำลังป่วย หายป่วยแล้วจะไปเคลียร์บัญชีให้/</t>
  </si>
  <si>
    <t>QRT-6702001</t>
  </si>
  <si>
    <t>C-00587</t>
  </si>
  <si>
    <t>ศุภสารการช่าง (หรั่ง) กาญจนดิษฐ์</t>
  </si>
  <si>
    <t>ขอทยอยโอนอาทิตย์ละ 2,000 วันที่ 5/5/67 นัดโอน 5,000 บาท / 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</si>
  <si>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QRT-6704002</t>
  </si>
  <si>
    <t>ขอทยอยโอนอาทิตย์ละ 2,000  วันที่ 5/5/67 นัดโอน 5,000 บาท / วันที่ 5.4.67 โอนยอดมาบางส่วน 3,000 บาท /4.4.67 ลูกค้านัดโอนเพิ่มวันที่ 5.4.67 ยอด 2,000 บาท /28.3.67 ทยอยโอนเงินบางส่วน 2,000 บาท/ ลูกค้าตีเช็คใบใหม่ให้ลงวันเดือนเมษายน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</si>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</sst>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FF0000"/>
      <name val="Calibri"/>
    </font>
    <font>
      <b val="0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7"/>
  <sheetViews>
    <sheetView tabSelected="1" workbookViewId="0" showGridLines="true" showRowColHeaders="1">
      <selection activeCell="J7" sqref="J7:P7"/>
    </sheetView>
  </sheetViews>
  <sheetFormatPr defaultRowHeight="14.4" defaultColWidth="12" outlineLevelRow="0" outlineLevelCol="0"/>
  <cols>
    <col min="1" max="1" width="16" customWidth="true" style="0"/>
    <col min="2" max="2" width="14" customWidth="true" style="0"/>
    <col min="4" max="4" width="66" customWidth="true" style="0"/>
    <col min="5" max="5" width="16" customWidth="true" style="0"/>
    <col min="6" max="6" width="14" customWidth="true" style="0"/>
    <col min="7" max="7" width="24" customWidth="true" style="0"/>
    <col min="8" max="8" width="32" customWidth="true" style="0"/>
    <col min="9" max="9" width="16" customWidth="true" style="0"/>
    <col min="10" max="10" width="14" customWidth="true" style="0"/>
    <col min="11" max="11" width="14" customWidth="true" style="0"/>
    <col min="12" max="12" width="14" customWidth="true" style="0"/>
    <col min="13" max="13" width="12" style="0"/>
    <col min="14" max="14" width="12" style="0"/>
    <col min="15" max="15" width="12" style="0"/>
    <col min="16" max="16" width="12" style="0"/>
    <col min="17" max="17" width="42.67" customWidth="true" style="0"/>
  </cols>
  <sheetData>
    <row r="1" spans="1:17" customHeight="1" ht="18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/>
      <c r="O1" s="2"/>
      <c r="P1" s="2"/>
      <c r="Q1" s="2" t="s">
        <v>13</v>
      </c>
    </row>
    <row r="2" spans="1:17" customHeight="1" ht="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 t="s">
        <v>14</v>
      </c>
      <c r="N2" s="2" t="s">
        <v>14</v>
      </c>
      <c r="O2" s="2" t="s">
        <v>14</v>
      </c>
      <c r="P2" s="2" t="s">
        <v>14</v>
      </c>
      <c r="Q2" s="2"/>
    </row>
    <row r="3" spans="1:17" customHeight="1" ht="18">
      <c r="A3" s="4" t="s">
        <v>15</v>
      </c>
      <c r="B3" s="6">
        <v>45219.0</v>
      </c>
      <c r="C3" s="4" t="s">
        <v>16</v>
      </c>
      <c r="D3" s="3" t="s">
        <v>17</v>
      </c>
      <c r="E3" s="6">
        <v>45219.0</v>
      </c>
      <c r="F3" s="7">
        <v>235</v>
      </c>
      <c r="G3" s="3" t="s">
        <v>18</v>
      </c>
      <c r="H3" s="3" t="s">
        <v>19</v>
      </c>
      <c r="I3" s="4">
        <v>10000411</v>
      </c>
      <c r="J3" s="8">
        <v>49639.0</v>
      </c>
      <c r="K3" s="8">
        <v>42065.93</v>
      </c>
      <c r="L3" s="9">
        <f>(J3-K3)</f>
        <v>7573.07</v>
      </c>
      <c r="M3" s="10">
        <f>(L3*0.03)</f>
        <v>227.1921</v>
      </c>
      <c r="N3" s="10">
        <f>(M3*0.7)</f>
        <v>159.03447</v>
      </c>
      <c r="O3" s="10">
        <f>(M3*0.2)</f>
        <v>45.43842</v>
      </c>
      <c r="P3" s="10">
        <f>(M3*0.1)</f>
        <v>22.71921</v>
      </c>
      <c r="Q3" s="3" t="s">
        <v>20</v>
      </c>
    </row>
    <row r="4" spans="1:17" customHeight="1" ht="18">
      <c r="A4" s="4" t="s">
        <v>21</v>
      </c>
      <c r="B4" s="6">
        <v>45286.0</v>
      </c>
      <c r="C4" s="4" t="s">
        <v>22</v>
      </c>
      <c r="D4" s="3" t="s">
        <v>23</v>
      </c>
      <c r="E4" s="6">
        <v>45280.0</v>
      </c>
      <c r="F4" s="7">
        <v>174</v>
      </c>
      <c r="G4" s="3" t="s">
        <v>24</v>
      </c>
      <c r="H4" s="3" t="s">
        <v>19</v>
      </c>
      <c r="I4" s="4">
        <v>195516</v>
      </c>
      <c r="J4" s="8">
        <v>11050.0</v>
      </c>
      <c r="K4" s="8">
        <v>7000.0</v>
      </c>
      <c r="L4" s="9">
        <f>(J4-K4)</f>
        <v>4050</v>
      </c>
      <c r="M4" s="10">
        <f>(L4*0.03)</f>
        <v>121.5</v>
      </c>
      <c r="N4" s="10">
        <f>(M4*0.7)</f>
        <v>85.05</v>
      </c>
      <c r="O4" s="10">
        <f>(M4*0.2)</f>
        <v>24.3</v>
      </c>
      <c r="P4" s="10">
        <f>(M4*0.1)</f>
        <v>12.15</v>
      </c>
      <c r="Q4" s="3" t="s">
        <v>25</v>
      </c>
    </row>
    <row r="5" spans="1:17" customHeight="1" ht="18">
      <c r="A5" s="4" t="s">
        <v>26</v>
      </c>
      <c r="B5" s="6">
        <v>45311.0</v>
      </c>
      <c r="C5" s="4" t="s">
        <v>27</v>
      </c>
      <c r="D5" s="3" t="s">
        <v>28</v>
      </c>
      <c r="E5" s="6">
        <v>45304.0</v>
      </c>
      <c r="F5" s="7">
        <v>150</v>
      </c>
      <c r="G5" s="3" t="s">
        <v>24</v>
      </c>
      <c r="H5" s="3" t="s">
        <v>19</v>
      </c>
      <c r="I5" s="4">
        <v>54767574</v>
      </c>
      <c r="J5" s="8">
        <v>20142.15</v>
      </c>
      <c r="K5" s="8">
        <v>12142.14</v>
      </c>
      <c r="L5" s="9">
        <f>(J5-K5)</f>
        <v>8000.01</v>
      </c>
      <c r="M5" s="10">
        <f>(L5*0.03)</f>
        <v>240.0003</v>
      </c>
      <c r="N5" s="10">
        <f>(M5*0.7)</f>
        <v>168.00021</v>
      </c>
      <c r="O5" s="10">
        <f>(M5*0.2)</f>
        <v>48.00006</v>
      </c>
      <c r="P5" s="10">
        <f>(M5*0.1)</f>
        <v>24.00003</v>
      </c>
      <c r="Q5" s="3" t="s">
        <v>29</v>
      </c>
    </row>
    <row r="6" spans="1:17" customHeight="1" ht="18">
      <c r="A6" s="4" t="s">
        <v>30</v>
      </c>
      <c r="B6" s="6">
        <v>45404.0</v>
      </c>
      <c r="C6" s="4" t="s">
        <v>27</v>
      </c>
      <c r="D6" s="3" t="s">
        <v>28</v>
      </c>
      <c r="E6" s="6">
        <v>45404.0</v>
      </c>
      <c r="F6" s="7">
        <v>50</v>
      </c>
      <c r="G6" s="3" t="s">
        <v>24</v>
      </c>
      <c r="H6" s="3" t="s">
        <v>19</v>
      </c>
      <c r="I6" s="4">
        <v>54767607</v>
      </c>
      <c r="J6" s="8">
        <v>20099.74</v>
      </c>
      <c r="K6" s="8">
        <v>0.0</v>
      </c>
      <c r="L6" s="9">
        <f>(J6-K6)</f>
        <v>20099.74</v>
      </c>
      <c r="M6" s="10">
        <f>(L6*0.005)</f>
        <v>100.4987</v>
      </c>
      <c r="N6" s="10">
        <f>(M6*0.7)</f>
        <v>70.34909</v>
      </c>
      <c r="O6" s="10">
        <f>(M6*0.2)</f>
        <v>20.09974</v>
      </c>
      <c r="P6" s="10">
        <f>(M6*0.1)</f>
        <v>10.04987</v>
      </c>
      <c r="Q6" s="3" t="s">
        <v>31</v>
      </c>
    </row>
    <row r="7" spans="1:17" customHeight="1" ht="18">
      <c r="A7" s="5" t="s">
        <v>32</v>
      </c>
      <c r="B7" s="5"/>
      <c r="C7" s="5"/>
      <c r="D7" s="5"/>
      <c r="E7" s="5"/>
      <c r="F7" s="5"/>
      <c r="G7" s="5"/>
      <c r="H7" s="5"/>
      <c r="I7" s="5"/>
      <c r="J7" s="11">
        <f>SUM(J3:J7)</f>
        <v>100930.89</v>
      </c>
      <c r="K7" s="11">
        <f>SUM(K3:K7)</f>
        <v>61208.07</v>
      </c>
      <c r="L7" s="9">
        <f>SUM(L3:L7)</f>
        <v>39722.82</v>
      </c>
      <c r="M7" s="9">
        <f>SUM(M3:M7)</f>
        <v>689.1911</v>
      </c>
      <c r="N7" s="9">
        <f>SUM(N3:N7)</f>
        <v>482.43377</v>
      </c>
      <c r="O7" s="9">
        <f>SUM(O3:O7)</f>
        <v>137.83822</v>
      </c>
      <c r="P7" s="9">
        <f>SUM(P3:P7)</f>
        <v>68.91911</v>
      </c>
      <c r="Q7" s="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P1"/>
    <mergeCell ref="Q1:Q2"/>
    <mergeCell ref="A7:I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จิราพร ระน้อย</dc:creator>
  <cp:lastModifiedBy>จิราพร ระน้อย</cp:lastModifiedBy>
  <dcterms:created xsi:type="dcterms:W3CDTF">2024-06-11T15:08:09+07:00</dcterms:created>
  <dcterms:modified xsi:type="dcterms:W3CDTF">2024-06-11T15:08:09+07:00</dcterms:modified>
  <dc:title>รายงานเช็คคืน บจ.คิงบางกอก อินเตอร์เทรด</dc:title>
  <dc:description/>
  <dc:subject>รายงานเช็คคืน บจ.คิงบางกอก อินเตอร์เทรด</dc:subject>
  <cp:keywords/>
  <cp:category/>
</cp:coreProperties>
</file>