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<sst xmlns="http://schemas.openxmlformats.org/spreadsheetml/2006/main" uniqueCount="42">
  <si>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</si>
  <si>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</si>
  <si>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</si>
  <si>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</si>
  <si>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</si>
  <si>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</si>
  <si>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</si>
  <si>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</si>
  <si>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</si>
  <si>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</si>
  <si>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</si>
  <si>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</si>
  <si>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</si>
  <si>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</si>
  <si>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</si>
  <si>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</si>
  <si>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</si>
  <si>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</si>
  <si>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</si>
  <si>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</si>
  <si>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</si>
  <si>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</si>
  <si>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</si>
  <si>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</si>
  <si>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</si>
  <si>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</si>
  <si>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</si>
  <si>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</si>
  <si>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</si>
  <si>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</si>
  <si>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</si>
  <si>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</si>
  <si>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QRT-6611004</t>
  </si>
  <si>
    <t>C-02408</t>
  </si>
  <si>
    <t>ทวีศักดิ์ วัสดุก่อสร้าง</t>
  </si>
  <si>
    <t>เช็คใบนี้ตีแทนเช็ค เลขที่ 10002877 ยอด 59,093 บาท</t>
  </si>
  <si>
    <t>QRT-6611007</t>
  </si>
  <si>
    <t>QRT-6611010</t>
  </si>
  <si>
    <t>C-12326</t>
  </si>
  <si>
    <t>เครื่องมือคับ จำกัด</t>
  </si>
  <si>
    <t>พิทักษ์ แขมคำ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</si>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</sst>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J11" sqref="J11:P11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49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(L3*0.005)</f>
        <v>500</v>
      </c>
      <c r="N3" s="10">
        <f>(M3*0.7)</f>
        <v>350</v>
      </c>
      <c r="O3" s="10">
        <f>(M3*0.2)</f>
        <v>100</v>
      </c>
      <c r="P3" s="10">
        <f>(M3*0.1)</f>
        <v>50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38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(L4*0.005)</f>
        <v>428.015</v>
      </c>
      <c r="N4" s="10">
        <f>(M4*0.7)</f>
        <v>299.6105</v>
      </c>
      <c r="O4" s="10">
        <f>(M4*0.2)</f>
        <v>85.603</v>
      </c>
      <c r="P4" s="10">
        <f>(M4*0.1)</f>
        <v>42.8015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32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/>
    </row>
    <row r="6" spans="1:17" customHeight="1" ht="18">
      <c r="A6" s="4" t="s">
        <v>27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31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28</v>
      </c>
      <c r="B7" s="6">
        <v>45219.0</v>
      </c>
      <c r="C7" s="4" t="s">
        <v>29</v>
      </c>
      <c r="D7" s="3" t="s">
        <v>30</v>
      </c>
      <c r="E7" s="6">
        <v>45219.0</v>
      </c>
      <c r="F7" s="7">
        <v>31</v>
      </c>
      <c r="G7" s="3" t="s">
        <v>31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/>
    </row>
    <row r="8" spans="1:17" customHeight="1" ht="18">
      <c r="A8" s="4" t="s">
        <v>32</v>
      </c>
      <c r="B8" s="6">
        <v>45224.0</v>
      </c>
      <c r="C8" s="4" t="s">
        <v>33</v>
      </c>
      <c r="D8" s="3" t="s">
        <v>34</v>
      </c>
      <c r="E8" s="6">
        <v>45224.0</v>
      </c>
      <c r="F8" s="7">
        <v>26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(L8*0)</f>
        <v>0</v>
      </c>
      <c r="N8" s="10">
        <f>(M8*0.7)</f>
        <v>0</v>
      </c>
      <c r="O8" s="10">
        <f>(M8*0.2)</f>
        <v>0</v>
      </c>
      <c r="P8" s="10">
        <f>(M8*0.1)</f>
        <v>0</v>
      </c>
      <c r="Q8" s="3" t="s">
        <v>35</v>
      </c>
    </row>
    <row r="9" spans="1:17" customHeight="1" ht="18">
      <c r="A9" s="4" t="s">
        <v>36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24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/>
    </row>
    <row r="10" spans="1:17" customHeight="1" ht="18">
      <c r="A10" s="4" t="s">
        <v>37</v>
      </c>
      <c r="B10" s="6">
        <v>45236.0</v>
      </c>
      <c r="C10" s="4" t="s">
        <v>38</v>
      </c>
      <c r="D10" s="3" t="s">
        <v>39</v>
      </c>
      <c r="E10" s="6">
        <v>45231.0</v>
      </c>
      <c r="F10" s="7">
        <v>19</v>
      </c>
      <c r="G10" s="3" t="s">
        <v>40</v>
      </c>
      <c r="H10" s="3" t="s">
        <v>22</v>
      </c>
      <c r="I10" s="4">
        <v>17770</v>
      </c>
      <c r="J10" s="8">
        <v>21523.0</v>
      </c>
      <c r="K10" s="8">
        <v>0.0</v>
      </c>
      <c r="L10" s="9">
        <f>(J10-K10)</f>
        <v>21523</v>
      </c>
      <c r="M10" s="10">
        <f>(L10*0)</f>
        <v>0</v>
      </c>
      <c r="N10" s="10">
        <f>(M10*0.7)</f>
        <v>0</v>
      </c>
      <c r="O10" s="10">
        <f>(M10*0.2)</f>
        <v>0</v>
      </c>
      <c r="P10" s="10">
        <f>(M10*0.1)</f>
        <v>0</v>
      </c>
      <c r="Q10" s="3"/>
    </row>
    <row r="11" spans="1:17" customHeight="1" ht="18">
      <c r="A11" s="5" t="s">
        <v>41</v>
      </c>
      <c r="B11" s="5"/>
      <c r="C11" s="5"/>
      <c r="D11" s="5"/>
      <c r="E11" s="5"/>
      <c r="F11" s="5"/>
      <c r="G11" s="5"/>
      <c r="H11" s="5"/>
      <c r="I11" s="5"/>
      <c r="J11" s="11">
        <f>SUM(J3:J11)</f>
        <v>594076.55</v>
      </c>
      <c r="K11" s="11">
        <f>SUM(K3:K11)</f>
        <v>88000</v>
      </c>
      <c r="L11" s="9">
        <f>SUM(L3:L11)</f>
        <v>506076.55</v>
      </c>
      <c r="M11" s="9">
        <f>SUM(M3:M11)</f>
        <v>1799.28775</v>
      </c>
      <c r="N11" s="9">
        <f>SUM(N3:N11)</f>
        <v>1259.501425</v>
      </c>
      <c r="O11" s="9">
        <f>SUM(O3:O11)</f>
        <v>359.85755</v>
      </c>
      <c r="P11" s="9">
        <f>SUM(P3:P11)</f>
        <v>179.928775</v>
      </c>
      <c r="Q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1:I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2023-11-20T11:36:32+07:00</dcterms:created>
  <dcterms:modified xsi:type="dcterms:W3CDTF">2023-11-20T11:36:32+07:00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