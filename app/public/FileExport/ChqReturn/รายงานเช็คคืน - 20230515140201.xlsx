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<sst xmlns="http://schemas.openxmlformats.org/spreadsheetml/2006/main" uniqueCount="30">
  <si>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</si>
  <si>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</si>
  <si>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</si>
  <si>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</si>
  <si>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</si>
  <si>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</si>
  <si>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</si>
  <si>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</si>
  <si>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</si>
  <si>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</si>
  <si>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</si>
  <si>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</si>
  <si>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</si>
  <si>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</si>
  <si>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</si>
  <si>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QRT-6602001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</si>
  <si>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</si>
  <si>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</si>
  <si>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</si>
  <si>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</si>
  <si>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ลูกค้านัดโอน 5/5/2566</t>
  </si>
  <si>
    <t>QRT-6603001</t>
  </si>
  <si>
    <t>C-02188</t>
  </si>
  <si>
    <t>เคพีเจ. มอเตอร์</t>
  </si>
  <si>
    <t>เข้าไปเก็บสินค้นคืน วันที่ 7/5/2566</t>
  </si>
  <si>
    <t>QRT-6604002</t>
  </si>
  <si>
    <t>QRT-6604003</t>
  </si>
  <si>
    <t>รอโอนใบที่ 1 ก่อนค่ะ แล้วจะโอนเป็นลำดับถัดไป</t>
  </si>
  <si>
    <t>QRT-6604001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</si>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</sst>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"/>
  <sheetViews>
    <sheetView tabSelected="1" workbookViewId="0" showGridLines="true" showRowColHeaders="1">
      <selection activeCell="J8" sqref="J8:P8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44957.0</v>
      </c>
      <c r="C3" s="4" t="s">
        <v>16</v>
      </c>
      <c r="D3" s="3" t="s">
        <v>17</v>
      </c>
      <c r="E3" s="6">
        <v>44957.0</v>
      </c>
      <c r="F3" s="7">
        <v>104</v>
      </c>
      <c r="G3" s="3" t="s">
        <v>18</v>
      </c>
      <c r="H3" s="3" t="s">
        <v>19</v>
      </c>
      <c r="I3" s="4">
        <v>83998882</v>
      </c>
      <c r="J3" s="8">
        <v>18960.0</v>
      </c>
      <c r="K3" s="8">
        <v>5732.51</v>
      </c>
      <c r="L3" s="9">
        <f>(J3-K3)</f>
        <v>13227.49</v>
      </c>
      <c r="M3" s="10">
        <f>(L3*0.03)</f>
        <v>396.8247</v>
      </c>
      <c r="N3" s="10">
        <f>(M3*0.7)</f>
        <v>277.77729</v>
      </c>
      <c r="O3" s="10">
        <f>(M3*0.2)</f>
        <v>79.36494</v>
      </c>
      <c r="P3" s="10">
        <f>(M3*0.1)</f>
        <v>39.68247</v>
      </c>
      <c r="Q3" s="3" t="s">
        <v>20</v>
      </c>
    </row>
    <row r="4" spans="1:17" customHeight="1" ht="18">
      <c r="A4" s="4" t="s">
        <v>21</v>
      </c>
      <c r="B4" s="6">
        <v>45002.0</v>
      </c>
      <c r="C4" s="4" t="s">
        <v>22</v>
      </c>
      <c r="D4" s="3" t="s">
        <v>23</v>
      </c>
      <c r="E4" s="6">
        <v>45002.0</v>
      </c>
      <c r="F4" s="7">
        <v>59</v>
      </c>
      <c r="G4" s="3" t="s">
        <v>18</v>
      </c>
      <c r="H4" s="3" t="s">
        <v>19</v>
      </c>
      <c r="I4" s="4">
        <v>80659346</v>
      </c>
      <c r="J4" s="8">
        <v>10000.0</v>
      </c>
      <c r="K4" s="8">
        <v>0.0</v>
      </c>
      <c r="L4" s="9">
        <f>(J4-K4)</f>
        <v>10000</v>
      </c>
      <c r="M4" s="10">
        <f>(L4*0.005)</f>
        <v>50</v>
      </c>
      <c r="N4" s="10">
        <f>(M4*0.7)</f>
        <v>35</v>
      </c>
      <c r="O4" s="10">
        <f>(M4*0.2)</f>
        <v>10</v>
      </c>
      <c r="P4" s="10">
        <f>(M4*0.1)</f>
        <v>5</v>
      </c>
      <c r="Q4" s="3" t="s">
        <v>24</v>
      </c>
    </row>
    <row r="5" spans="1:17" customHeight="1" ht="18">
      <c r="A5" s="4" t="s">
        <v>25</v>
      </c>
      <c r="B5" s="6">
        <v>45012.0</v>
      </c>
      <c r="C5" s="4" t="s">
        <v>22</v>
      </c>
      <c r="D5" s="3" t="s">
        <v>23</v>
      </c>
      <c r="E5" s="6">
        <v>45012.0</v>
      </c>
      <c r="F5" s="7">
        <v>49</v>
      </c>
      <c r="G5" s="3" t="s">
        <v>18</v>
      </c>
      <c r="H5" s="3" t="s">
        <v>19</v>
      </c>
      <c r="I5" s="4">
        <v>80659347</v>
      </c>
      <c r="J5" s="8">
        <v>11548.0</v>
      </c>
      <c r="K5" s="8">
        <v>0.0</v>
      </c>
      <c r="L5" s="9">
        <f>(J5-K5)</f>
        <v>11548</v>
      </c>
      <c r="M5" s="10">
        <f>(L5*0.005)</f>
        <v>57.74</v>
      </c>
      <c r="N5" s="10">
        <f>(M5*0.7)</f>
        <v>40.418</v>
      </c>
      <c r="O5" s="10">
        <f>(M5*0.2)</f>
        <v>11.548</v>
      </c>
      <c r="P5" s="10">
        <f>(M5*0.1)</f>
        <v>5.774</v>
      </c>
      <c r="Q5" s="3" t="s">
        <v>24</v>
      </c>
    </row>
    <row r="6" spans="1:17" customHeight="1" ht="18">
      <c r="A6" s="4" t="s">
        <v>26</v>
      </c>
      <c r="B6" s="6">
        <v>45012.0</v>
      </c>
      <c r="C6" s="4" t="s">
        <v>16</v>
      </c>
      <c r="D6" s="3" t="s">
        <v>17</v>
      </c>
      <c r="E6" s="6">
        <v>45012.0</v>
      </c>
      <c r="F6" s="7">
        <v>49</v>
      </c>
      <c r="G6" s="3" t="s">
        <v>18</v>
      </c>
      <c r="H6" s="3" t="s">
        <v>19</v>
      </c>
      <c r="I6" s="4">
        <v>83998922</v>
      </c>
      <c r="J6" s="8">
        <v>20029.0</v>
      </c>
      <c r="K6" s="8">
        <v>0.0</v>
      </c>
      <c r="L6" s="9">
        <f>(J6-K6)</f>
        <v>20029</v>
      </c>
      <c r="M6" s="10">
        <f>(L6*0.005)</f>
        <v>100.145</v>
      </c>
      <c r="N6" s="10">
        <f>(M6*0.7)</f>
        <v>70.1015</v>
      </c>
      <c r="O6" s="10">
        <f>(M6*0.2)</f>
        <v>20.029</v>
      </c>
      <c r="P6" s="10">
        <f>(M6*0.1)</f>
        <v>10.0145</v>
      </c>
      <c r="Q6" s="3" t="s">
        <v>27</v>
      </c>
    </row>
    <row r="7" spans="1:17" customHeight="1" ht="18">
      <c r="A7" s="4" t="s">
        <v>28</v>
      </c>
      <c r="B7" s="6">
        <v>45019.0</v>
      </c>
      <c r="C7" s="4" t="s">
        <v>22</v>
      </c>
      <c r="D7" s="3" t="s">
        <v>23</v>
      </c>
      <c r="E7" s="6">
        <v>45016.0</v>
      </c>
      <c r="F7" s="7">
        <v>45</v>
      </c>
      <c r="G7" s="3" t="s">
        <v>18</v>
      </c>
      <c r="H7" s="3" t="s">
        <v>19</v>
      </c>
      <c r="I7" s="4">
        <v>80659348</v>
      </c>
      <c r="J7" s="8">
        <v>10000.0</v>
      </c>
      <c r="K7" s="8">
        <v>0.0</v>
      </c>
      <c r="L7" s="9">
        <f>(J7-K7)</f>
        <v>10000</v>
      </c>
      <c r="M7" s="10">
        <f>(L7*0.005)</f>
        <v>50</v>
      </c>
      <c r="N7" s="10">
        <f>(M7*0.7)</f>
        <v>35</v>
      </c>
      <c r="O7" s="10">
        <f>(M7*0.2)</f>
        <v>10</v>
      </c>
      <c r="P7" s="10">
        <f>(M7*0.1)</f>
        <v>5</v>
      </c>
      <c r="Q7" s="3" t="s">
        <v>24</v>
      </c>
    </row>
    <row r="8" spans="1:17" customHeight="1" ht="18">
      <c r="A8" s="5" t="s">
        <v>29</v>
      </c>
      <c r="B8" s="5"/>
      <c r="C8" s="5"/>
      <c r="D8" s="5"/>
      <c r="E8" s="5"/>
      <c r="F8" s="5"/>
      <c r="G8" s="5"/>
      <c r="H8" s="5"/>
      <c r="I8" s="5"/>
      <c r="J8" s="11">
        <f>SUM(J3:J8)</f>
        <v>70537</v>
      </c>
      <c r="K8" s="11">
        <f>SUM(K3:K8)</f>
        <v>5732.51</v>
      </c>
      <c r="L8" s="9">
        <f>SUM(L3:L8)</f>
        <v>64804.49</v>
      </c>
      <c r="M8" s="9">
        <f>SUM(M3:M8)</f>
        <v>654.7097</v>
      </c>
      <c r="N8" s="9">
        <f>SUM(N3:N8)</f>
        <v>458.29679</v>
      </c>
      <c r="O8" s="9">
        <f>SUM(O3:O8)</f>
        <v>130.94194</v>
      </c>
      <c r="P8" s="9">
        <f>SUM(P3:P8)</f>
        <v>65.47097</v>
      </c>
      <c r="Q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8:I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2023-05-15T14:02:01+07:00</dcterms:created>
  <dcterms:modified xsi:type="dcterms:W3CDTF">2023-05-15T14:02:01+07:00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