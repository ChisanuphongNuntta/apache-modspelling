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<sst xmlns="http://schemas.openxmlformats.org/spreadsheetml/2006/main" uniqueCount="21">
  <si>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</si>
  <si>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</si>
  <si>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</si>
  <si>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</si>
  <si>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</si>
  <si>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</si>
  <si>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</si>
  <si>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</si>
  <si>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</si>
  <si>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</si>
  <si>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</si>
  <si>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</si>
  <si>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</si>
  <si>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</si>
  <si>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</si>
  <si>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QRT-6609001</t>
  </si>
  <si>
    <t>C-12033</t>
  </si>
  <si>
    <t>เฉิงกง พีเค แมชชีน ทูลส์ จำกัด</t>
  </si>
  <si>
    <t>ลักษิกา พวงแก้ว</t>
  </si>
  <si>
    <t>13 | เช็คสั่งจ่ายผิดปกติ/เช็คสั่งจ่ายไม่ถูกต้อง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</si>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</sst>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J4" sqref="J4:P4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45118.0</v>
      </c>
      <c r="C3" s="4" t="s">
        <v>16</v>
      </c>
      <c r="D3" s="3" t="s">
        <v>17</v>
      </c>
      <c r="E3" s="6">
        <v>45117.0</v>
      </c>
      <c r="F3" s="7">
        <v>67</v>
      </c>
      <c r="G3" s="3" t="s">
        <v>18</v>
      </c>
      <c r="H3" s="3" t="s">
        <v>19</v>
      </c>
      <c r="I3" s="4">
        <v>14267</v>
      </c>
      <c r="J3" s="8">
        <v>24625.0</v>
      </c>
      <c r="K3" s="8">
        <v>0.0</v>
      </c>
      <c r="L3" s="9">
        <f>(J3-K3)</f>
        <v>24625</v>
      </c>
      <c r="M3" s="10">
        <f>(L3*0.01)</f>
        <v>246.25</v>
      </c>
      <c r="N3" s="10">
        <f>(M3*0.7)</f>
        <v>172.375</v>
      </c>
      <c r="O3" s="10">
        <f>(M3*0.2)</f>
        <v>49.25</v>
      </c>
      <c r="P3" s="10">
        <f>(M3*0.1)</f>
        <v>24.625</v>
      </c>
      <c r="Q3" s="3"/>
    </row>
    <row r="4" spans="1:17" customHeight="1" ht="18">
      <c r="A4" s="5" t="s">
        <v>20</v>
      </c>
      <c r="B4" s="5"/>
      <c r="C4" s="5"/>
      <c r="D4" s="5"/>
      <c r="E4" s="5"/>
      <c r="F4" s="5"/>
      <c r="G4" s="5"/>
      <c r="H4" s="5"/>
      <c r="I4" s="5"/>
      <c r="J4" s="11">
        <f>SUM(J3:J4)</f>
        <v>24625</v>
      </c>
      <c r="K4" s="11">
        <f>SUM(K3:K4)</f>
        <v>0</v>
      </c>
      <c r="L4" s="9">
        <f>SUM(L3:L4)</f>
        <v>24625</v>
      </c>
      <c r="M4" s="9">
        <f>SUM(M3:M4)</f>
        <v>246.25</v>
      </c>
      <c r="N4" s="9">
        <f>SUM(N3:N4)</f>
        <v>172.375</v>
      </c>
      <c r="O4" s="9">
        <f>SUM(O3:O4)</f>
        <v>49.25</v>
      </c>
      <c r="P4" s="9">
        <f>SUM(P3:P4)</f>
        <v>24.625</v>
      </c>
      <c r="Q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2023-09-15T15:40:09+07:00</dcterms:created>
  <dcterms:modified xsi:type="dcterms:W3CDTF">2023-09-15T15:40:09+07:00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