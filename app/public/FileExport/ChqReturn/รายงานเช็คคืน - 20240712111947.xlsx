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<sst xmlns="http://schemas.openxmlformats.org/spreadsheetml/2006/main" uniqueCount="22">
  <si>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</si>
  <si>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</si>
  <si>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</si>
  <si>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</si>
  <si>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</si>
  <si>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</si>
  <si>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</si>
  <si>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</si>
  <si>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</si>
  <si>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</si>
  <si>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</si>
  <si>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</si>
  <si>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</si>
  <si>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</si>
  <si>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</si>
  <si>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QRT-6704002</t>
  </si>
  <si>
    <t>C-00587</t>
  </si>
  <si>
    <t>ศุภสารการช่าง (หรั่ง) กาญจนดิษฐ์</t>
  </si>
  <si>
    <t>อัฐภูมิ ฤทธิเดช</t>
  </si>
  <si>
    <t>01 | เงินในบัญชีไม่พอจ่าย</t>
  </si>
  <si>
    <t>ขอทยอยโอนอาทิตย์ละ 2,000  วันที่ 5/5/67 นัดโอน 5,000 บาท / วันที่ 5.4.67 โอนยอดมาบางส่วน 3,000 บาท /4.4.67 ลูกค้านัดโอนเพิ่มวันที่ 5.4.67 ยอด 2,000 บาท /28.3.67 ทยอยโอนเงินบางส่วน 2,000 บาท/ ลูกค้าตีเช็คใบใหม่ให้ลงวันเดือนเมษายน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</si>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</sst>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>
      <selection activeCell="J4" sqref="J4:P4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45404.0</v>
      </c>
      <c r="C3" s="4" t="s">
        <v>16</v>
      </c>
      <c r="D3" s="3" t="s">
        <v>17</v>
      </c>
      <c r="E3" s="6">
        <v>45404.0</v>
      </c>
      <c r="F3" s="7">
        <v>81</v>
      </c>
      <c r="G3" s="3" t="s">
        <v>18</v>
      </c>
      <c r="H3" s="3" t="s">
        <v>19</v>
      </c>
      <c r="I3" s="4">
        <v>54767607</v>
      </c>
      <c r="J3" s="8">
        <v>20099.74</v>
      </c>
      <c r="K3" s="8">
        <v>0.0</v>
      </c>
      <c r="L3" s="9">
        <f>(J3-K3)</f>
        <v>20099.74</v>
      </c>
      <c r="M3" s="10">
        <f>(L3*0.01)</f>
        <v>200.9974</v>
      </c>
      <c r="N3" s="10">
        <f>(M3*0.7)</f>
        <v>140.69818</v>
      </c>
      <c r="O3" s="10">
        <f>(M3*0.2)</f>
        <v>40.19948</v>
      </c>
      <c r="P3" s="10">
        <f>(M3*0.1)</f>
        <v>20.09974</v>
      </c>
      <c r="Q3" s="3" t="s">
        <v>20</v>
      </c>
    </row>
    <row r="4" spans="1:17" customHeight="1" ht="18">
      <c r="A4" s="5" t="s">
        <v>21</v>
      </c>
      <c r="B4" s="5"/>
      <c r="C4" s="5"/>
      <c r="D4" s="5"/>
      <c r="E4" s="5"/>
      <c r="F4" s="5"/>
      <c r="G4" s="5"/>
      <c r="H4" s="5"/>
      <c r="I4" s="5"/>
      <c r="J4" s="11">
        <f>SUM(J3:J4)</f>
        <v>20099.74</v>
      </c>
      <c r="K4" s="11">
        <f>SUM(K3:K4)</f>
        <v>0</v>
      </c>
      <c r="L4" s="9">
        <f>SUM(L3:L4)</f>
        <v>20099.74</v>
      </c>
      <c r="M4" s="9">
        <f>SUM(M3:M4)</f>
        <v>200.9974</v>
      </c>
      <c r="N4" s="9">
        <f>SUM(N3:N4)</f>
        <v>140.69818</v>
      </c>
      <c r="O4" s="9">
        <f>SUM(O3:O4)</f>
        <v>40.19948</v>
      </c>
      <c r="P4" s="9">
        <f>SUM(P3:P4)</f>
        <v>20.09974</v>
      </c>
      <c r="Q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2024-07-12T11:19:47+07:00</dcterms:created>
  <dcterms:modified xsi:type="dcterms:W3CDTF">2024-07-12T11:19:47+07:00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