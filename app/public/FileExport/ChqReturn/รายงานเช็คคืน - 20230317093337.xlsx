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<sst xmlns="http://schemas.openxmlformats.org/spreadsheetml/2006/main" uniqueCount="24">
  <si>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</si>
  <si>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</si>
  <si>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</si>
  <si>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</si>
  <si>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</si>
  <si>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</si>
  <si>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</si>
  <si>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</si>
  <si>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</si>
  <si>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</si>
  <si>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</si>
  <si>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</si>
  <si>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</si>
  <si>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</si>
  <si>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</si>
  <si>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QRT-6601001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</si>
  <si>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</si>
  <si>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</si>
  <si>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</si>
  <si>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</si>
  <si>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แจ้งคุณหรั่งให้เร่งติดตามยอดแล้ว</t>
  </si>
  <si>
    <t>QRT-6601004</t>
  </si>
  <si>
    <t>QRT-6602001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</si>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</sst>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44936.0</v>
      </c>
      <c r="C3" s="4" t="s">
        <v>16</v>
      </c>
      <c r="D3" s="3" t="s">
        <v>17</v>
      </c>
      <c r="E3" s="6">
        <v>44936.0</v>
      </c>
      <c r="F3" s="7">
        <v>66</v>
      </c>
      <c r="G3" s="3" t="s">
        <v>18</v>
      </c>
      <c r="H3" s="3" t="s">
        <v>19</v>
      </c>
      <c r="I3" s="4">
        <v>8121000916</v>
      </c>
      <c r="J3" s="8">
        <v>24109.0</v>
      </c>
      <c r="K3" s="8">
        <v>0.0</v>
      </c>
      <c r="L3" s="9">
        <f>(J3-K3)</f>
        <v>24109</v>
      </c>
      <c r="M3" s="10">
        <f>(L3*0.01)</f>
        <v>241.09</v>
      </c>
      <c r="N3" s="10">
        <f>(M3*0.7)</f>
        <v>168.763</v>
      </c>
      <c r="O3" s="10">
        <f>(M3*0.2)</f>
        <v>48.218</v>
      </c>
      <c r="P3" s="10">
        <f>(M3*0.1)</f>
        <v>24.109</v>
      </c>
      <c r="Q3" s="3" t="s">
        <v>20</v>
      </c>
    </row>
    <row r="4" spans="1:17" customHeight="1" ht="18">
      <c r="A4" s="4" t="s">
        <v>21</v>
      </c>
      <c r="B4" s="6">
        <v>44949.0</v>
      </c>
      <c r="C4" s="4" t="s">
        <v>16</v>
      </c>
      <c r="D4" s="3" t="s">
        <v>17</v>
      </c>
      <c r="E4" s="6">
        <v>44942.0</v>
      </c>
      <c r="F4" s="7">
        <v>60</v>
      </c>
      <c r="G4" s="3" t="s">
        <v>18</v>
      </c>
      <c r="H4" s="3" t="s">
        <v>19</v>
      </c>
      <c r="I4" s="4">
        <v>83998881</v>
      </c>
      <c r="J4" s="8">
        <v>20000.0</v>
      </c>
      <c r="K4" s="8">
        <v>0.0</v>
      </c>
      <c r="L4" s="9">
        <f>(J4-K4)</f>
        <v>20000</v>
      </c>
      <c r="M4" s="10">
        <f>(L4*0.005)</f>
        <v>100</v>
      </c>
      <c r="N4" s="10">
        <f>(M4*0.7)</f>
        <v>70</v>
      </c>
      <c r="O4" s="10">
        <f>(M4*0.2)</f>
        <v>20</v>
      </c>
      <c r="P4" s="10">
        <f>(M4*0.1)</f>
        <v>10</v>
      </c>
      <c r="Q4" s="3" t="s">
        <v>20</v>
      </c>
    </row>
    <row r="5" spans="1:17" customHeight="1" ht="18">
      <c r="A5" s="4" t="s">
        <v>22</v>
      </c>
      <c r="B5" s="6">
        <v>44957.0</v>
      </c>
      <c r="C5" s="4" t="s">
        <v>16</v>
      </c>
      <c r="D5" s="3" t="s">
        <v>17</v>
      </c>
      <c r="E5" s="6">
        <v>44957.0</v>
      </c>
      <c r="F5" s="7">
        <v>45</v>
      </c>
      <c r="G5" s="3" t="s">
        <v>18</v>
      </c>
      <c r="H5" s="3" t="s">
        <v>19</v>
      </c>
      <c r="I5" s="4">
        <v>83998882</v>
      </c>
      <c r="J5" s="8">
        <v>18960.0</v>
      </c>
      <c r="K5" s="8">
        <v>0.0</v>
      </c>
      <c r="L5" s="9">
        <f>(J5-K5)</f>
        <v>18960</v>
      </c>
      <c r="M5" s="10">
        <f>(L5*0.005)</f>
        <v>94.8</v>
      </c>
      <c r="N5" s="10">
        <f>(M5*0.7)</f>
        <v>66.36</v>
      </c>
      <c r="O5" s="10">
        <f>(M5*0.2)</f>
        <v>18.96</v>
      </c>
      <c r="P5" s="10">
        <f>(M5*0.1)</f>
        <v>9.48</v>
      </c>
      <c r="Q5" s="3" t="s">
        <v>20</v>
      </c>
    </row>
    <row r="6" spans="1:17" customHeight="1" ht="18">
      <c r="A6" s="5" t="s">
        <v>23</v>
      </c>
      <c r="B6" s="5"/>
      <c r="C6" s="5"/>
      <c r="D6" s="5"/>
      <c r="E6" s="5"/>
      <c r="F6" s="5"/>
      <c r="G6" s="5"/>
      <c r="H6" s="5"/>
      <c r="I6" s="5"/>
      <c r="J6" s="11">
        <f>SUM(J3:J6)</f>
        <v>63069</v>
      </c>
      <c r="K6" s="11">
        <f>SUM(K3:K6)</f>
        <v>0</v>
      </c>
      <c r="L6" s="9">
        <f>SUM(L3:L6)</f>
        <v>63069</v>
      </c>
      <c r="M6" s="9">
        <f>SUM(M3:M6)</f>
        <v>435.89</v>
      </c>
      <c r="N6" s="9">
        <f>SUM(N3:N6)</f>
        <v>305.123</v>
      </c>
      <c r="O6" s="9">
        <f>SUM(O3:O6)</f>
        <v>87.178</v>
      </c>
      <c r="P6" s="9">
        <f>SUM(P3:P6)</f>
        <v>43.589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2023-03-17T09:33:37+07:00</dcterms:created>
  <dcterms:modified xsi:type="dcterms:W3CDTF">2023-03-17T09:33:37+07:00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