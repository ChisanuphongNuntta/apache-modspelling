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<sst xmlns="http://schemas.openxmlformats.org/spreadsheetml/2006/main" uniqueCount="64">
  <si>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</si>
  <si>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</si>
  <si>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</si>
  <si>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</si>
  <si>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</si>
  <si>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</si>
  <si>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</si>
  <si>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</si>
  <si>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</si>
  <si>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</si>
  <si>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</si>
  <si>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</si>
  <si>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</si>
  <si>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</si>
  <si>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</si>
  <si>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</si>
  <si>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</si>
  <si>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</si>
  <si>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</si>
  <si>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</si>
  <si>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</si>
  <si>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</si>
  <si>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</si>
  <si>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</si>
  <si>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</si>
  <si>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</si>
  <si>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</si>
  <si>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</si>
  <si>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</si>
  <si>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</si>
  <si>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</si>
  <si>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</si>
  <si>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</si>
  <si>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</si>
  <si>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</si>
  <si>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</si>
  <si>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</si>
  <si>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</si>
  <si>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</si>
  <si>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</si>
  <si>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</si>
  <si>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</si>
  <si>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</si>
  <si>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06-101-001</t>
  </si>
  <si>
    <t>กรรไกรตัดกิ่ง EU 801</t>
  </si>
  <si>
    <t>N</t>
  </si>
  <si>
    <t>06-100-003</t>
  </si>
  <si>
    <t>เลื่อยโค้งตัดกิ่งไม้ ปลายโค้ง 14" EU 1403</t>
  </si>
  <si>
    <t>06-100-001</t>
  </si>
  <si>
    <t>เลื่อยโค้งตัดกิ่งไม้ 14" EU 1401</t>
  </si>
  <si>
    <t>05-004-042</t>
  </si>
  <si>
    <t>ใบตัดหญ้า 10x40T EUROX (ดำ) Z</t>
  </si>
  <si>
    <t>05-004-012</t>
  </si>
  <si>
    <t>ใบตัดหญ้า 9x40T EUROX (ดำ) Z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</si>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</sst>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8" sqref="AW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2016.0</v>
      </c>
      <c r="H3" s="6">
        <v>152913.6</v>
      </c>
      <c r="I3" s="4">
        <v>0</v>
      </c>
      <c r="J3" s="4">
        <v>0</v>
      </c>
      <c r="K3" s="5">
        <v>467.090904</v>
      </c>
      <c r="L3" s="6">
        <v>35428.845068</v>
      </c>
      <c r="M3" s="7">
        <v>-3.3160763413196</v>
      </c>
      <c r="N3" s="5">
        <v>367.0</v>
      </c>
      <c r="O3" s="5">
        <v>33.363636</v>
      </c>
      <c r="P3" s="5">
        <v>6.0</v>
      </c>
      <c r="Q3" s="4">
        <v>0</v>
      </c>
      <c r="R3" s="5">
        <v>1637.0</v>
      </c>
      <c r="S3" s="6">
        <v>124166.45</v>
      </c>
      <c r="T3" s="5">
        <v>62.166666</v>
      </c>
      <c r="U3" s="8">
        <v>26.33243996067</v>
      </c>
      <c r="V3" s="6">
        <v>27836.95</v>
      </c>
      <c r="W3" s="6">
        <v>75.85</v>
      </c>
      <c r="X3" s="6">
        <v>55436.973</v>
      </c>
      <c r="Y3" s="6">
        <v>151.05442234332</v>
      </c>
      <c r="Z3" s="6">
        <v>27600.023</v>
      </c>
      <c r="AA3" s="6">
        <v>75.204422343324</v>
      </c>
      <c r="AB3" s="9">
        <v>0.49786309580792</v>
      </c>
      <c r="AC3" s="5">
        <v>367.0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455.1</v>
      </c>
      <c r="AK3" s="6">
        <v>75.85</v>
      </c>
      <c r="AL3" s="6">
        <v>785.04</v>
      </c>
      <c r="AM3" s="6">
        <v>130.84</v>
      </c>
      <c r="AN3" s="6">
        <v>329.94</v>
      </c>
      <c r="AO3" s="6">
        <v>54.99</v>
      </c>
      <c r="AP3" s="9">
        <v>0.42028431672271</v>
      </c>
      <c r="AQ3" s="5">
        <v>6.0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0</v>
      </c>
      <c r="F4" s="4">
        <v>0</v>
      </c>
      <c r="G4" s="5">
        <v>2016.0</v>
      </c>
      <c r="H4" s="6">
        <v>132531.84</v>
      </c>
      <c r="I4" s="4">
        <v>0</v>
      </c>
      <c r="J4" s="4">
        <v>0</v>
      </c>
      <c r="K4" s="5">
        <v>487.454534</v>
      </c>
      <c r="L4" s="6">
        <v>32045.261065</v>
      </c>
      <c r="M4" s="7">
        <v>-3.1357703321721</v>
      </c>
      <c r="N4" s="5">
        <v>383.0</v>
      </c>
      <c r="O4" s="5">
        <v>34.818181</v>
      </c>
      <c r="P4" s="5">
        <v>6.0</v>
      </c>
      <c r="Q4" s="4">
        <v>0</v>
      </c>
      <c r="R4" s="5">
        <v>1621.0</v>
      </c>
      <c r="S4" s="6">
        <v>106564.54</v>
      </c>
      <c r="T4" s="5">
        <v>64.833333</v>
      </c>
      <c r="U4" s="8">
        <v>25.002570822635</v>
      </c>
      <c r="V4" s="6">
        <v>25178.42</v>
      </c>
      <c r="W4" s="6">
        <v>65.74</v>
      </c>
      <c r="X4" s="6">
        <v>56609.331</v>
      </c>
      <c r="Y4" s="6">
        <v>147.80504177546</v>
      </c>
      <c r="Z4" s="6">
        <v>31430.911</v>
      </c>
      <c r="AA4" s="6">
        <v>82.065041775457</v>
      </c>
      <c r="AB4" s="9">
        <v>0.55522491512927</v>
      </c>
      <c r="AC4" s="5">
        <v>383.0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394.44</v>
      </c>
      <c r="AK4" s="6">
        <v>65.74</v>
      </c>
      <c r="AL4" s="6">
        <v>897.18</v>
      </c>
      <c r="AM4" s="6">
        <v>149.53</v>
      </c>
      <c r="AN4" s="6">
        <v>502.74</v>
      </c>
      <c r="AO4" s="6">
        <v>83.79</v>
      </c>
      <c r="AP4" s="9">
        <v>0.56035578144854</v>
      </c>
      <c r="AQ4" s="5">
        <v>6.0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0</v>
      </c>
      <c r="F5" s="4">
        <v>0</v>
      </c>
      <c r="G5" s="5">
        <v>2016.0</v>
      </c>
      <c r="H5" s="6">
        <v>112150.08</v>
      </c>
      <c r="I5" s="4">
        <v>0</v>
      </c>
      <c r="J5" s="4">
        <v>0</v>
      </c>
      <c r="K5" s="5">
        <v>449.272726</v>
      </c>
      <c r="L5" s="6">
        <v>24993.041747</v>
      </c>
      <c r="M5" s="7">
        <v>-3.4872521373577</v>
      </c>
      <c r="N5" s="5">
        <v>353.0</v>
      </c>
      <c r="O5" s="5">
        <v>32.090909</v>
      </c>
      <c r="P5" s="5">
        <v>6.0</v>
      </c>
      <c r="Q5" s="4">
        <v>0</v>
      </c>
      <c r="R5" s="5">
        <v>1655.0</v>
      </c>
      <c r="S5" s="6">
        <v>92067.65</v>
      </c>
      <c r="T5" s="5">
        <v>59.833333</v>
      </c>
      <c r="U5" s="8">
        <v>27.660167285015</v>
      </c>
      <c r="V5" s="6">
        <v>19637.39</v>
      </c>
      <c r="W5" s="6">
        <v>55.63</v>
      </c>
      <c r="X5" s="6">
        <v>46786.847</v>
      </c>
      <c r="Y5" s="6">
        <v>132.54064305949</v>
      </c>
      <c r="Z5" s="6">
        <v>27149.457</v>
      </c>
      <c r="AA5" s="6">
        <v>76.91064305949</v>
      </c>
      <c r="AB5" s="9">
        <v>0.58027968843466</v>
      </c>
      <c r="AC5" s="5">
        <v>353.0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333.78</v>
      </c>
      <c r="AK5" s="6">
        <v>55.63</v>
      </c>
      <c r="AL5" s="6">
        <v>801.84</v>
      </c>
      <c r="AM5" s="6">
        <v>133.64</v>
      </c>
      <c r="AN5" s="6">
        <v>468.06</v>
      </c>
      <c r="AO5" s="6">
        <v>78.01</v>
      </c>
      <c r="AP5" s="9">
        <v>0.58373241544448</v>
      </c>
      <c r="AQ5" s="5">
        <v>6.0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0</v>
      </c>
      <c r="F6" s="4">
        <v>0</v>
      </c>
      <c r="G6" s="5">
        <v>1000.0</v>
      </c>
      <c r="H6" s="6">
        <v>63210.0</v>
      </c>
      <c r="I6" s="4">
        <v>0</v>
      </c>
      <c r="J6" s="4">
        <v>0</v>
      </c>
      <c r="K6" s="5">
        <v>94.181808</v>
      </c>
      <c r="L6" s="6">
        <v>5953.232084</v>
      </c>
      <c r="M6" s="7">
        <v>-9.6177617656268</v>
      </c>
      <c r="N6" s="5">
        <v>74.0</v>
      </c>
      <c r="O6" s="5">
        <v>6.727272</v>
      </c>
      <c r="P6" s="5">
        <v>12.0</v>
      </c>
      <c r="Q6" s="4">
        <v>0</v>
      </c>
      <c r="R6" s="5">
        <v>914.0</v>
      </c>
      <c r="S6" s="6">
        <v>57773.94</v>
      </c>
      <c r="T6" s="5">
        <v>14.333333</v>
      </c>
      <c r="U6" s="8">
        <v>63.767443343429</v>
      </c>
      <c r="V6" s="6">
        <v>4677.54</v>
      </c>
      <c r="W6" s="6">
        <v>63.21</v>
      </c>
      <c r="X6" s="6">
        <v>14028.55</v>
      </c>
      <c r="Y6" s="6">
        <v>189.575</v>
      </c>
      <c r="Z6" s="6">
        <v>9351.01</v>
      </c>
      <c r="AA6" s="6">
        <v>126.365</v>
      </c>
      <c r="AB6" s="9">
        <v>0.66656995911908</v>
      </c>
      <c r="AC6" s="5">
        <v>74.0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758.52</v>
      </c>
      <c r="AK6" s="6">
        <v>63.21</v>
      </c>
      <c r="AL6" s="6">
        <v>1980.0</v>
      </c>
      <c r="AM6" s="6">
        <v>165.0</v>
      </c>
      <c r="AN6" s="6">
        <v>1221.48</v>
      </c>
      <c r="AO6" s="6">
        <v>101.79</v>
      </c>
      <c r="AP6" s="9">
        <v>0.61690909090909</v>
      </c>
      <c r="AQ6" s="5">
        <v>12.0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0</v>
      </c>
      <c r="F7" s="4">
        <v>0</v>
      </c>
      <c r="G7" s="5">
        <v>1000.0</v>
      </c>
      <c r="H7" s="6">
        <v>60680.0</v>
      </c>
      <c r="I7" s="4">
        <v>0</v>
      </c>
      <c r="J7" s="4">
        <v>0</v>
      </c>
      <c r="K7" s="5">
        <v>178.181808</v>
      </c>
      <c r="L7" s="6">
        <v>10812.072109</v>
      </c>
      <c r="M7" s="7">
        <v>-4.6122452186589</v>
      </c>
      <c r="N7" s="5">
        <v>140.0</v>
      </c>
      <c r="O7" s="5">
        <v>12.727272</v>
      </c>
      <c r="P7" s="5">
        <v>6.0</v>
      </c>
      <c r="Q7" s="4">
        <v>0</v>
      </c>
      <c r="R7" s="5">
        <v>854.0</v>
      </c>
      <c r="S7" s="6">
        <v>51820.72</v>
      </c>
      <c r="T7" s="5">
        <v>24.333333</v>
      </c>
      <c r="U7" s="8">
        <v>35.095890891725</v>
      </c>
      <c r="V7" s="6">
        <v>8495.2</v>
      </c>
      <c r="W7" s="6">
        <v>60.68</v>
      </c>
      <c r="X7" s="6">
        <v>24036.36</v>
      </c>
      <c r="Y7" s="6">
        <v>171.68828571429</v>
      </c>
      <c r="Z7" s="6">
        <v>15541.16</v>
      </c>
      <c r="AA7" s="6">
        <v>111.00828571429</v>
      </c>
      <c r="AB7" s="9">
        <v>0.64656878162917</v>
      </c>
      <c r="AC7" s="5">
        <v>140.0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364.08</v>
      </c>
      <c r="AK7" s="6">
        <v>60.68</v>
      </c>
      <c r="AL7" s="6">
        <v>888.0</v>
      </c>
      <c r="AM7" s="6">
        <v>148.0</v>
      </c>
      <c r="AN7" s="6">
        <v>523.92</v>
      </c>
      <c r="AO7" s="6">
        <v>87.32</v>
      </c>
      <c r="AP7" s="9">
        <v>0.59</v>
      </c>
      <c r="AQ7" s="5">
        <v>6.0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1" t="s">
        <v>54</v>
      </c>
      <c r="B8" s="1"/>
      <c r="C8" s="1"/>
      <c r="D8" s="1"/>
      <c r="E8" s="1"/>
      <c r="F8" s="10">
        <f>SUM(F3:F8)</f>
        <v>0</v>
      </c>
      <c r="G8" s="1"/>
      <c r="H8" s="10">
        <f>SUM(H3:H8)</f>
        <v>521485.52</v>
      </c>
      <c r="I8" s="1"/>
      <c r="J8" s="10">
        <f>SUM(J3:J8)</f>
        <v>0</v>
      </c>
      <c r="K8" s="1"/>
      <c r="L8" s="10">
        <f>SUM(L3:L8)</f>
        <v>109232.452073</v>
      </c>
      <c r="M8" s="1"/>
      <c r="N8" s="1"/>
      <c r="O8" s="1"/>
      <c r="P8" s="1"/>
      <c r="Q8" s="1"/>
      <c r="R8" s="1"/>
      <c r="S8" s="10">
        <f>SUM(S3:S8)</f>
        <v>432393.3</v>
      </c>
      <c r="T8" s="1"/>
      <c r="U8" s="1"/>
      <c r="V8" s="10">
        <f>SUM(V3:V8)</f>
        <v>85825.5</v>
      </c>
      <c r="W8" s="1"/>
      <c r="X8" s="10">
        <f>SUM(X3:X8)</f>
        <v>196898.061</v>
      </c>
      <c r="Y8" s="1"/>
      <c r="Z8" s="10">
        <f>SUM(Z3:Z8)</f>
        <v>111072.561</v>
      </c>
      <c r="AA8" s="1"/>
      <c r="AB8" s="1"/>
      <c r="AC8" s="1"/>
      <c r="AD8" s="1"/>
      <c r="AE8" s="1"/>
      <c r="AF8" s="10">
        <f>SUM(AF3:AF8)</f>
        <v>0</v>
      </c>
      <c r="AG8" s="1"/>
      <c r="AH8" s="1"/>
      <c r="AI8" s="10">
        <f>SUM(AI3:AI8)</f>
        <v>0</v>
      </c>
      <c r="AJ8" s="10">
        <f>SUM(AJ3:V8)</f>
        <v>792803.43729223</v>
      </c>
      <c r="AK8" s="1"/>
      <c r="AL8" s="10">
        <f>SUM(AL3:AL8)</f>
        <v>5352.06</v>
      </c>
      <c r="AM8" s="1"/>
      <c r="AN8" s="10">
        <f>SUM(AN3:AN8)</f>
        <v>3046.14</v>
      </c>
      <c r="AO8" s="1"/>
      <c r="AP8" s="1"/>
      <c r="AQ8" s="1"/>
      <c r="AR8" s="1"/>
      <c r="AS8" s="1"/>
      <c r="AT8" s="10">
        <f>SUM(AT3:AT8)</f>
        <v>0</v>
      </c>
      <c r="AU8" s="1"/>
      <c r="AV8" s="1"/>
      <c r="AW8" s="10">
        <f>SUM(AW3:AW8)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8:D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1</v>
      </c>
      <c r="G1" s="1" t="s">
        <v>2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2024-01-12T08:53:43+07:00</dcterms:created>
  <dcterms:modified xsi:type="dcterms:W3CDTF">2024-01-12T08:53:43+07:00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