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<sst xmlns="http://schemas.openxmlformats.org/spreadsheetml/2006/main" uniqueCount="221">
  <si>
    <t>ลำดับ</t>
  </si>
  <si>
    <t>รหัสสินค้า</t>
  </si>
  <si>
    <t>ชื่อสินค้า</t>
  </si>
  <si>
    <t>สถานะ</t>
  </si>
  <si>
    <t>ยอดซื้อ 2022</t>
  </si>
  <si>
    <t>จำนวน
(หน่วย)</t>
  </si>
  <si>
    <t>มูลค่า
(THB)</t>
  </si>
  <si>
    <t>ยอดซื้อ 2023</t>
  </si>
  <si>
    <t>ยอดซื้อจริง 2024</t>
  </si>
  <si>
    <t>ประมาณการสั่งซื้อ 2024</t>
  </si>
  <si>
    <t>Growth
(%)</t>
  </si>
  <si>
    <t>ยอดขาย 2023</t>
  </si>
  <si>
    <t>รวมทั้งหมด
(หน่วย)</t>
  </si>
  <si>
    <t>เฉลี่ยต่อเดือน
(หน่วย)</t>
  </si>
  <si>
    <t>ยอดขาย 2024</t>
  </si>
  <si>
    <t>สินค้าคงคลัง 14/02/2024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</si>
  <si>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</si>
  <si>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</si>
  <si>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</si>
  <si>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</si>
  <si>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2023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</si>
  <si>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</si>
  <si>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</si>
  <si>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</si>
  <si>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</si>
  <si>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</si>
  <si>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</si>
  <si>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</si>
  <si>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</si>
  <si>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</si>
  <si>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</si>
  <si>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</si>
  <si>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</si>
  <si>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</si>
  <si>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รอเคลมซัพฯ
(หน่วย)</t>
  </si>
  <si>
    <t>มูลค่ารอเคลมซัพฯ
(THB)</t>
  </si>
  <si>
    <t>วิเคราะห์การขาย 2024</t>
  </si>
  <si>
    <t>ข้อมูลการเคลมสินค้า 2024</t>
  </si>
  <si>
    <t>ยอดขาย 2024
(หน่วย)</t>
  </si>
  <si>
    <t>คืนเพื่อเคลมซัพฯ
2024 (หน่วย)</t>
  </si>
  <si>
    <t>เคลมซัพฯ แล้ว
2024 (หน่วย)</t>
  </si>
  <si>
    <t>มูลค่าการเคลม
2024 (THB)</t>
  </si>
  <si>
    <t>% การเคลม
2024</t>
  </si>
  <si>
    <t>31-441-512</t>
  </si>
  <si>
    <t>ใบเลื่อยจิ๊กซอ NO.B-10 MAKITA</t>
  </si>
  <si>
    <t>P</t>
  </si>
  <si>
    <t>DEAD</t>
  </si>
  <si>
    <t>ZZ-000-502</t>
  </si>
  <si>
    <t>สว่านอิมแพคไร้สาย 18V. DTD172RTJ MAKITA</t>
  </si>
  <si>
    <t>ZZ-000-503</t>
  </si>
  <si>
    <t>สว่านหัวงอไร้สาย 18V. DDA350RFE MAKITA</t>
  </si>
  <si>
    <t>ZZ-000-496</t>
  </si>
  <si>
    <t>ทริมเมอร์ MAKITA 18V รุ่น DRT50ZJX3 (เครื่องเปล่า)</t>
  </si>
  <si>
    <t>ZZ-000-491</t>
  </si>
  <si>
    <t>เลื่อยวงเดือนไฟฟ้า 10" (260-270 มม.) HS0600 MAKITA</t>
  </si>
  <si>
    <t>ZZ-000-497</t>
  </si>
  <si>
    <t>สว่านอิมแพคไร้สาย 18V (4 SPEED)</t>
  </si>
  <si>
    <t>M</t>
  </si>
  <si>
    <t>ZZ-000-079</t>
  </si>
  <si>
    <t>MT924 NO.35 แผ่นรอง</t>
  </si>
  <si>
    <t>D22</t>
  </si>
  <si>
    <t>31-401-013</t>
  </si>
  <si>
    <t>เลื่อยจิ๊กซอ MAKITA 4329</t>
  </si>
  <si>
    <t>31-351-111</t>
  </si>
  <si>
    <t>เลื่อยวงเดือน 7"MAKITA 5007NF</t>
  </si>
  <si>
    <t>ZZ-000-472</t>
  </si>
  <si>
    <t>อะไหล่ DDF453# DC MORTOR</t>
  </si>
  <si>
    <t>31-601-043</t>
  </si>
  <si>
    <t>เจียร์ไฟฟ้า 4" MAKITA 9556HNG</t>
  </si>
  <si>
    <t>31-144-011</t>
  </si>
  <si>
    <t>สว่านไขควงไร้สาย 12V. DF333DWYE</t>
  </si>
  <si>
    <t>31-143-515</t>
  </si>
  <si>
    <t>สว่านไขควงไฟฟ้า MAKITA TD0101F</t>
  </si>
  <si>
    <t>ZZ-000-378</t>
  </si>
  <si>
    <t>ใบเลื่อยสายพาน 4T-16MM LB1200 (3pcs)</t>
  </si>
  <si>
    <t>31-441-500</t>
  </si>
  <si>
    <t>ใบเลื่อยจิกซอ No.3 MAKITA</t>
  </si>
  <si>
    <t>ZZ-000-379</t>
  </si>
  <si>
    <t>ใบเลื่อยสายพาน 4T-13MM LB1200 (3pcs)</t>
  </si>
  <si>
    <t>ZZ-000-499</t>
  </si>
  <si>
    <t>แบตเตอรี่ BL1815N 18V 1.5AH DDF453</t>
  </si>
  <si>
    <t>37-121-140</t>
  </si>
  <si>
    <t>แปรงถ่าน MAKITA CB-325 (9556NB)</t>
  </si>
  <si>
    <t>37-121-126</t>
  </si>
  <si>
    <t>แปรงถ่าน MAKITA CB-303A</t>
  </si>
  <si>
    <t>ZZ-000-351</t>
  </si>
  <si>
    <t>ทุ่นไฟฟ้า TD0100(TD0101F) MAKITA</t>
  </si>
  <si>
    <t>ZZ-000-498</t>
  </si>
  <si>
    <t>แท่นชาร์ท DC18RC ชาร์จเร็ว</t>
  </si>
  <si>
    <t>ZZ-000-337</t>
  </si>
  <si>
    <t>หัวเทียน</t>
  </si>
  <si>
    <t>ZZ-000-310</t>
  </si>
  <si>
    <t>อะไหล่ 9556NB #41 SWITCH DPX-2110</t>
  </si>
  <si>
    <t>ZZ-000-501</t>
  </si>
  <si>
    <t>อะไหล่ MAKITA DHP454RFE #6 SWITCH</t>
  </si>
  <si>
    <t>38-411-019</t>
  </si>
  <si>
    <t>ทุ่น MT 954 MAKTEC</t>
  </si>
  <si>
    <t>D21</t>
  </si>
  <si>
    <t>38-603-022</t>
  </si>
  <si>
    <t>MT603 MACTEC No.22 สวิตซ์</t>
  </si>
  <si>
    <t>ZZ-000-483</t>
  </si>
  <si>
    <t>ใบเลื่อยวงเดือน Makita B-14607 HW85mm. X 15mm.</t>
  </si>
  <si>
    <t>99-997-996</t>
  </si>
  <si>
    <t>ปากจับ 1/2" MAKITA 3612 BR NO.16</t>
  </si>
  <si>
    <t>D</t>
  </si>
  <si>
    <t>ZZ-000-355</t>
  </si>
  <si>
    <t>อะไหล่ DDF453SHE #7 SWITCH MAKITA</t>
  </si>
  <si>
    <t>ZZ-000-222</t>
  </si>
  <si>
    <t>ดอกไขควง MAKITA PH2x50 BLACK E-08763 (2PCS/PACK)</t>
  </si>
  <si>
    <t>ZZ-000-485</t>
  </si>
  <si>
    <t>ดอกสว่าน SDS-MAX D-TYPE 12X340MM</t>
  </si>
  <si>
    <t>ZZ-000-352</t>
  </si>
  <si>
    <t>ฟิลคอยล์ TD0100(TD0101F) MAKITA</t>
  </si>
  <si>
    <t>ZZ-000-006</t>
  </si>
  <si>
    <t>กระดาษทรายขัดบูริเทน TOA#320 (แพ็ค 12 ชิ้น)</t>
  </si>
  <si>
    <t>31-641-001</t>
  </si>
  <si>
    <t>ทุ่นไฟฟ้า 6412(6413)</t>
  </si>
  <si>
    <t>37-121-115</t>
  </si>
  <si>
    <t>แปรงถ่าน MAKITA CB-153A</t>
  </si>
  <si>
    <t>37-121-135</t>
  </si>
  <si>
    <t>แปรงถ่าน MAKITA CB-419A</t>
  </si>
  <si>
    <t>37-121-128</t>
  </si>
  <si>
    <t>แปรงถ่าน MAKITA CB-411A</t>
  </si>
  <si>
    <t>37-121-118</t>
  </si>
  <si>
    <t>แปรงถ่าน MAKITA CB-64A/CB-57</t>
  </si>
  <si>
    <t>ZZ-000-492</t>
  </si>
  <si>
    <t>อะไหล่ BDF453#2 HOUSING</t>
  </si>
  <si>
    <t>ZZ-000-121</t>
  </si>
  <si>
    <t>อะไหล่ 9556NB #50 MORTOR HOUSING</t>
  </si>
  <si>
    <t>ZZ-000-505</t>
  </si>
  <si>
    <t>อะไหล่ MAKITA RP2301FC #44 RETAINER COVER</t>
  </si>
  <si>
    <t>ZZ-000-507</t>
  </si>
  <si>
    <t>อะไหล่ MAKITA 1600 #37 น๊อต 4X15M4X18</t>
  </si>
  <si>
    <t>ZZ-000-504</t>
  </si>
  <si>
    <t>อะไหล่ MAKITA RP2301FC #43 COLLET NUT</t>
  </si>
  <si>
    <t>ZZ-000-508</t>
  </si>
  <si>
    <t>อะไหล่ MAKITA RP2301FC #61 LOCK LEVER</t>
  </si>
  <si>
    <t>ZZ-000-144</t>
  </si>
  <si>
    <t>อะไหล่ 9553B#3 LABYRINTH RUBBER RING 19</t>
  </si>
  <si>
    <t>ZZ-000-487</t>
  </si>
  <si>
    <t>อะไหล่ M3700 #18 LABYRINTH RUBBER RING ( 9553B #3)</t>
  </si>
  <si>
    <t>ZZ-000-506</t>
  </si>
  <si>
    <t>อะไหล่ MAKITA 9523NB #3 COMPRESSIONSPRING8</t>
  </si>
  <si>
    <t>31-131-302</t>
  </si>
  <si>
    <t>สว่านกระแทกไร้สาย MAKITA HP333DWYE</t>
  </si>
  <si>
    <t>31-200-510</t>
  </si>
  <si>
    <t>เจียร์ไฟฟ้า 4"MAKITA 9500NB</t>
  </si>
  <si>
    <t>31-250-022</t>
  </si>
  <si>
    <t>เป่าลมร้อน MAKITA HG5030</t>
  </si>
  <si>
    <t>31-485-520</t>
  </si>
  <si>
    <t>5103N/5201N MAKITA ทุ่น</t>
  </si>
  <si>
    <t>31-485-525</t>
  </si>
  <si>
    <t>9500NB MAKITA ทุ่น</t>
  </si>
  <si>
    <t>31-485-527</t>
  </si>
  <si>
    <t>9500NB MAKITA ฟิลคอย</t>
  </si>
  <si>
    <t>36-111-345</t>
  </si>
  <si>
    <t>ใบเลื่อย MAKITA 180 mm.7"x40T (B-17061)</t>
  </si>
  <si>
    <t>36-121-150</t>
  </si>
  <si>
    <t>ใบกบ 5"1คม MAKITA 1804N</t>
  </si>
  <si>
    <t>37-121-123</t>
  </si>
  <si>
    <t>แปรงถ่าน MAKITA CB-203A</t>
  </si>
  <si>
    <t>37-121-160</t>
  </si>
  <si>
    <t>แปรงถ่าน MAKITA CB459/460</t>
  </si>
  <si>
    <t>38-411-016</t>
  </si>
  <si>
    <t>ทุ่น MT 900/902 MAKTEC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</si>
  <si>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</si>
  <si>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</si>
  <si>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</si>
  <si>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</si>
  <si>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</si>
  <si>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</si>
  <si>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</si>
  <si>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</si>
  <si>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99-370-023</t>
  </si>
  <si>
    <t>แผ่นยางรองแท่น MAKITA BO3700 NO.23</t>
  </si>
  <si>
    <t>ZZ-000-020</t>
  </si>
  <si>
    <t>สว่านไขควงกระแทกไร้สาย 12V. TD110DZ MAKITA (เครื่องเปล่า)</t>
  </si>
  <si>
    <t>ZZ-000-051</t>
  </si>
  <si>
    <t>ดอกเร้าเตอร์ MAKITA #D-09173 ขนาด 6 mm.</t>
  </si>
  <si>
    <t>ZZ-000-202</t>
  </si>
  <si>
    <t>หัวสว่าน DHP 453</t>
  </si>
  <si>
    <t>ZZ-000-211</t>
  </si>
  <si>
    <t>ทุ่น Makita 9227C</t>
  </si>
  <si>
    <t>ZZ-000-324</t>
  </si>
  <si>
    <t>ฟิลคอยล์ 9227C</t>
  </si>
  <si>
    <t>ZZ-000-325</t>
  </si>
  <si>
    <t>เลื่อยองศาสไลด์ 10" LS-1019L</t>
  </si>
  <si>
    <t>ZZ-000-354</t>
  </si>
  <si>
    <t>แผ่นรองเครื่องขัด BO3710</t>
  </si>
  <si>
    <t>ZZ-000-356</t>
  </si>
  <si>
    <t>อะไหล่ DTD149 #6 สวิซต์ TG573FSB-12V MAKITA</t>
  </si>
  <si>
    <t>ZZ-000-357</t>
  </si>
  <si>
    <t>สว่านอิมแพคไร้สาย 18V DTD154RFE 3.0A BL</t>
  </si>
  <si>
    <t>ZZ-000-358</t>
  </si>
  <si>
    <t>แผ่นรองเครื่องขัดกระดาษทราย MT920 ตัวเล็ก</t>
  </si>
  <si>
    <t>ZZ-000-360</t>
  </si>
  <si>
    <t>ใบเลื่อยวงเดือน-มีเนียม MAKITA 12"X120 T (B-17326)</t>
  </si>
  <si>
    <t>ZZ-000-368</t>
  </si>
  <si>
    <t>ดอกไขควง 2*65 Makita (แพ็ค 10)</t>
  </si>
  <si>
    <t>ZZ-000-389</t>
  </si>
  <si>
    <t>ใบเลื่อยวงเดือน 10"60T Makita (B-17289)</t>
  </si>
  <si>
    <t>ZZ-000-393</t>
  </si>
  <si>
    <t>ดอกใบพาย 3/4" (D-24583) Makita</t>
  </si>
  <si>
    <t>ZZ-000-395</t>
  </si>
  <si>
    <t>ดอกใบพาย 1" (D-24614)</t>
  </si>
  <si>
    <t>ZZ-000-397</t>
  </si>
  <si>
    <t>อะไหล่ทุ่นไฟฟ้า 9556NB</t>
  </si>
  <si>
    <t>ZZ-000-398</t>
  </si>
  <si>
    <t>อะไหล่ฟิลคอล์ย 9556NB</t>
  </si>
  <si>
    <t>ZZ-000-511</t>
  </si>
  <si>
    <t>ใบตัดเพชร 16 นิ้ว LASER MAKITA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</si>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</sst>
</file>

<file path=xl/styles.xml><?xml version="1.0" encoding="utf-8"?>
<styleSheet xmlns="http://schemas.openxmlformats.org/spreadsheetml/2006/main" xml:space="preserve">
  <numFmts count="1">
    <numFmt numFmtId="164" formatCode="#,##0.0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a111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10" fillId="2" borderId="0" applyFont="1" applyNumberFormat="1" applyFill="1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3" numFmtId="164" fillId="3" borderId="0" applyFont="1" applyNumberFormat="1" applyFill="1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84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84" sqref="AW84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0</v>
      </c>
      <c r="F3" s="4">
        <v>0</v>
      </c>
      <c r="G3" s="5">
        <v>89.0</v>
      </c>
      <c r="H3" s="6">
        <v>14800.0</v>
      </c>
      <c r="I3" s="5">
        <v>22.0</v>
      </c>
      <c r="J3" s="6">
        <v>3700.0</v>
      </c>
      <c r="K3" s="5">
        <v>123.454534</v>
      </c>
      <c r="L3" s="6">
        <v>22839.08879</v>
      </c>
      <c r="M3" s="7">
        <v>0.2790868256001</v>
      </c>
      <c r="N3" s="5">
        <v>97.0</v>
      </c>
      <c r="O3" s="5">
        <v>8.818181</v>
      </c>
      <c r="P3" s="5">
        <v>35.0</v>
      </c>
      <c r="Q3" s="5">
        <v>25.0</v>
      </c>
      <c r="R3" s="4">
        <v>0</v>
      </c>
      <c r="S3" s="4">
        <v>0</v>
      </c>
      <c r="T3" s="5">
        <v>22.0</v>
      </c>
      <c r="U3" s="8" t="s">
        <v>46</v>
      </c>
      <c r="V3" s="6">
        <v>14817.284</v>
      </c>
      <c r="W3" s="6">
        <v>152.75550515464</v>
      </c>
      <c r="X3" s="6">
        <v>22532.795</v>
      </c>
      <c r="Y3" s="6">
        <v>232.2968556701</v>
      </c>
      <c r="Z3" s="6">
        <v>7715.511</v>
      </c>
      <c r="AA3" s="6">
        <v>79.541350515464</v>
      </c>
      <c r="AB3" s="9">
        <v>0.34241251473685</v>
      </c>
      <c r="AC3" s="5">
        <v>97.0</v>
      </c>
      <c r="AD3" s="4">
        <v>0</v>
      </c>
      <c r="AE3" s="4">
        <v>0</v>
      </c>
      <c r="AF3" s="4">
        <v>0</v>
      </c>
      <c r="AG3" s="3">
        <v>0</v>
      </c>
      <c r="AH3" s="4">
        <v>0</v>
      </c>
      <c r="AI3" s="4">
        <v>0</v>
      </c>
      <c r="AJ3" s="6">
        <v>5601.87</v>
      </c>
      <c r="AK3" s="6">
        <v>160.05342857143</v>
      </c>
      <c r="AL3" s="6">
        <v>8411.3</v>
      </c>
      <c r="AM3" s="6">
        <v>240.32285714286</v>
      </c>
      <c r="AN3" s="6">
        <v>2809.43</v>
      </c>
      <c r="AO3" s="6">
        <v>80.269428571429</v>
      </c>
      <c r="AP3" s="9">
        <v>0.33400663393292</v>
      </c>
      <c r="AQ3" s="5">
        <v>35.0</v>
      </c>
      <c r="AR3" s="4">
        <v>0</v>
      </c>
      <c r="AS3" s="4">
        <v>0</v>
      </c>
      <c r="AT3" s="4">
        <v>0</v>
      </c>
      <c r="AU3" s="3">
        <v>0</v>
      </c>
      <c r="AV3" s="4">
        <v>0</v>
      </c>
      <c r="AW3" s="4">
        <v>0</v>
      </c>
    </row>
    <row r="4" spans="1:49">
      <c r="A4" s="3">
        <v>2</v>
      </c>
      <c r="B4" s="3" t="s">
        <v>47</v>
      </c>
      <c r="C4" t="s">
        <v>48</v>
      </c>
      <c r="D4" s="3" t="s">
        <v>45</v>
      </c>
      <c r="E4" s="4">
        <v>0</v>
      </c>
      <c r="F4" s="4">
        <v>0</v>
      </c>
      <c r="G4" s="5">
        <v>1.0</v>
      </c>
      <c r="H4" s="6">
        <v>11252.0</v>
      </c>
      <c r="I4" s="4">
        <v>0</v>
      </c>
      <c r="J4" s="4">
        <v>0</v>
      </c>
      <c r="K4" s="5">
        <v>1.272726</v>
      </c>
      <c r="L4" s="6">
        <v>14320.712952</v>
      </c>
      <c r="M4" s="7">
        <v>0.21428492857064</v>
      </c>
      <c r="N4" s="5">
        <v>1.0</v>
      </c>
      <c r="O4" s="5">
        <v>0.090909</v>
      </c>
      <c r="P4" s="4">
        <v>0</v>
      </c>
      <c r="Q4" s="4">
        <v>0</v>
      </c>
      <c r="R4" s="4">
        <v>0</v>
      </c>
      <c r="S4" s="4">
        <v>0</v>
      </c>
      <c r="T4" s="5">
        <v>0.166666</v>
      </c>
      <c r="U4" s="8" t="s">
        <v>46</v>
      </c>
      <c r="V4" s="6">
        <v>10515.89</v>
      </c>
      <c r="W4" s="6">
        <v>10515.89</v>
      </c>
      <c r="X4" s="6">
        <v>13925.234</v>
      </c>
      <c r="Y4" s="6">
        <v>13925.234</v>
      </c>
      <c r="Z4" s="6">
        <v>3409.344</v>
      </c>
      <c r="AA4" s="6">
        <v>3409.344</v>
      </c>
      <c r="AB4" s="10">
        <v>0.244832079662</v>
      </c>
      <c r="AC4" s="5">
        <v>1.0</v>
      </c>
      <c r="AD4" s="4">
        <v>0</v>
      </c>
      <c r="AE4" s="4">
        <v>0</v>
      </c>
      <c r="AF4" s="4">
        <v>0</v>
      </c>
      <c r="AG4" s="3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3">
        <v>0</v>
      </c>
      <c r="AQ4" s="4">
        <v>0</v>
      </c>
      <c r="AR4" s="4">
        <v>0</v>
      </c>
      <c r="AS4" s="4">
        <v>0</v>
      </c>
      <c r="AT4" s="4">
        <v>0</v>
      </c>
      <c r="AU4" s="3">
        <v>0</v>
      </c>
      <c r="AV4" s="4">
        <v>0</v>
      </c>
      <c r="AW4" s="4">
        <v>0</v>
      </c>
    </row>
    <row r="5" spans="1:49">
      <c r="A5" s="3">
        <v>3</v>
      </c>
      <c r="B5" s="3" t="s">
        <v>49</v>
      </c>
      <c r="C5" t="s">
        <v>50</v>
      </c>
      <c r="D5" s="3" t="s">
        <v>45</v>
      </c>
      <c r="E5" s="4">
        <v>0</v>
      </c>
      <c r="F5" s="4">
        <v>0</v>
      </c>
      <c r="G5" s="5">
        <v>1.0</v>
      </c>
      <c r="H5" s="6">
        <v>9816.4</v>
      </c>
      <c r="I5" s="4">
        <v>0</v>
      </c>
      <c r="J5" s="4">
        <v>0</v>
      </c>
      <c r="K5" s="5">
        <v>1.272726</v>
      </c>
      <c r="L5" s="6">
        <v>12493.587506</v>
      </c>
      <c r="M5" s="7">
        <v>0.21428492857064</v>
      </c>
      <c r="N5" s="5">
        <v>1.0</v>
      </c>
      <c r="O5" s="5">
        <v>0.090909</v>
      </c>
      <c r="P5" s="4">
        <v>0</v>
      </c>
      <c r="Q5" s="4">
        <v>0</v>
      </c>
      <c r="R5" s="4">
        <v>0</v>
      </c>
      <c r="S5" s="4">
        <v>0</v>
      </c>
      <c r="T5" s="5">
        <v>0.166666</v>
      </c>
      <c r="U5" s="8" t="s">
        <v>46</v>
      </c>
      <c r="V5" s="6">
        <v>9174.2</v>
      </c>
      <c r="W5" s="6">
        <v>9174.2</v>
      </c>
      <c r="X5" s="6">
        <v>12102.804</v>
      </c>
      <c r="Y5" s="6">
        <v>12102.804</v>
      </c>
      <c r="Z5" s="6">
        <v>2928.604</v>
      </c>
      <c r="AA5" s="6">
        <v>2928.604</v>
      </c>
      <c r="AB5" s="10">
        <v>0.24197731368698</v>
      </c>
      <c r="AC5" s="5">
        <v>1.0</v>
      </c>
      <c r="AD5" s="4">
        <v>0</v>
      </c>
      <c r="AE5" s="4">
        <v>0</v>
      </c>
      <c r="AF5" s="4">
        <v>0</v>
      </c>
      <c r="AG5" s="3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3">
        <v>0</v>
      </c>
      <c r="AQ5" s="4">
        <v>0</v>
      </c>
      <c r="AR5" s="4">
        <v>0</v>
      </c>
      <c r="AS5" s="4">
        <v>0</v>
      </c>
      <c r="AT5" s="4">
        <v>0</v>
      </c>
      <c r="AU5" s="3">
        <v>0</v>
      </c>
      <c r="AV5" s="4">
        <v>0</v>
      </c>
      <c r="AW5" s="4">
        <v>0</v>
      </c>
    </row>
    <row r="6" spans="1:49">
      <c r="A6" s="3">
        <v>4</v>
      </c>
      <c r="B6" s="3" t="s">
        <v>51</v>
      </c>
      <c r="C6" t="s">
        <v>52</v>
      </c>
      <c r="D6" s="3" t="s">
        <v>45</v>
      </c>
      <c r="E6" s="4">
        <v>0</v>
      </c>
      <c r="F6" s="4">
        <v>0</v>
      </c>
      <c r="G6" s="5">
        <v>1.0</v>
      </c>
      <c r="H6" s="6">
        <v>8916.6</v>
      </c>
      <c r="I6" s="4">
        <v>0</v>
      </c>
      <c r="J6" s="4">
        <v>0</v>
      </c>
      <c r="K6" s="5">
        <v>1.272726</v>
      </c>
      <c r="L6" s="6">
        <v>11348.388652</v>
      </c>
      <c r="M6" s="7">
        <v>0.21428492857064</v>
      </c>
      <c r="N6" s="5">
        <v>1.0</v>
      </c>
      <c r="O6" s="5">
        <v>0.090909</v>
      </c>
      <c r="P6" s="4">
        <v>0</v>
      </c>
      <c r="Q6" s="4">
        <v>0</v>
      </c>
      <c r="R6" s="4">
        <v>0</v>
      </c>
      <c r="S6" s="4">
        <v>0</v>
      </c>
      <c r="T6" s="5">
        <v>0.166666</v>
      </c>
      <c r="U6" s="8" t="s">
        <v>46</v>
      </c>
      <c r="V6" s="6">
        <v>8332.9</v>
      </c>
      <c r="W6" s="6">
        <v>8332.9</v>
      </c>
      <c r="X6" s="6">
        <v>12616.823</v>
      </c>
      <c r="Y6" s="6">
        <v>12616.823</v>
      </c>
      <c r="Z6" s="6">
        <v>4283.923</v>
      </c>
      <c r="AA6" s="6">
        <v>4283.923</v>
      </c>
      <c r="AB6" s="9">
        <v>0.3395405483615</v>
      </c>
      <c r="AC6" s="5">
        <v>1.0</v>
      </c>
      <c r="AD6" s="4">
        <v>0</v>
      </c>
      <c r="AE6" s="4">
        <v>0</v>
      </c>
      <c r="AF6" s="4">
        <v>0</v>
      </c>
      <c r="AG6" s="3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3">
        <v>0</v>
      </c>
      <c r="AQ6" s="4">
        <v>0</v>
      </c>
      <c r="AR6" s="4">
        <v>0</v>
      </c>
      <c r="AS6" s="4">
        <v>0</v>
      </c>
      <c r="AT6" s="4">
        <v>0</v>
      </c>
      <c r="AU6" s="3">
        <v>0</v>
      </c>
      <c r="AV6" s="4">
        <v>0</v>
      </c>
      <c r="AW6" s="4">
        <v>0</v>
      </c>
    </row>
    <row r="7" spans="1:49">
      <c r="A7" s="3">
        <v>5</v>
      </c>
      <c r="B7" s="3" t="s">
        <v>53</v>
      </c>
      <c r="C7" t="s">
        <v>54</v>
      </c>
      <c r="D7" s="3" t="s">
        <v>45</v>
      </c>
      <c r="E7" s="4">
        <v>0</v>
      </c>
      <c r="F7" s="4">
        <v>0</v>
      </c>
      <c r="G7" s="5">
        <v>1.0</v>
      </c>
      <c r="H7" s="6">
        <v>7530.0</v>
      </c>
      <c r="I7" s="4">
        <v>0</v>
      </c>
      <c r="J7" s="4">
        <v>0</v>
      </c>
      <c r="K7" s="5">
        <v>2.545452</v>
      </c>
      <c r="L7" s="6">
        <v>18036.383055</v>
      </c>
      <c r="M7" s="7">
        <v>0.60714246428532</v>
      </c>
      <c r="N7" s="5">
        <v>2.0</v>
      </c>
      <c r="O7" s="5">
        <v>0.181818</v>
      </c>
      <c r="P7" s="4">
        <v>0</v>
      </c>
      <c r="Q7" s="4">
        <v>0</v>
      </c>
      <c r="R7" s="4">
        <v>0</v>
      </c>
      <c r="S7" s="4">
        <v>0</v>
      </c>
      <c r="T7" s="5">
        <v>0.333333</v>
      </c>
      <c r="U7" s="8" t="s">
        <v>46</v>
      </c>
      <c r="V7" s="6">
        <v>13658.86</v>
      </c>
      <c r="W7" s="6">
        <v>6829.43</v>
      </c>
      <c r="X7" s="6">
        <v>17457.94</v>
      </c>
      <c r="Y7" s="6">
        <v>8728.97</v>
      </c>
      <c r="Z7" s="6">
        <v>3799.08</v>
      </c>
      <c r="AA7" s="6">
        <v>1899.54</v>
      </c>
      <c r="AB7" s="10">
        <v>0.21761330374603</v>
      </c>
      <c r="AC7" s="5">
        <v>2.0</v>
      </c>
      <c r="AD7" s="4">
        <v>0</v>
      </c>
      <c r="AE7" s="4">
        <v>0</v>
      </c>
      <c r="AF7" s="4">
        <v>0</v>
      </c>
      <c r="AG7" s="3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3">
        <v>0</v>
      </c>
      <c r="AQ7" s="4">
        <v>0</v>
      </c>
      <c r="AR7" s="4">
        <v>0</v>
      </c>
      <c r="AS7" s="4">
        <v>0</v>
      </c>
      <c r="AT7" s="4">
        <v>0</v>
      </c>
      <c r="AU7" s="3">
        <v>0</v>
      </c>
      <c r="AV7" s="4">
        <v>0</v>
      </c>
      <c r="AW7" s="4">
        <v>0</v>
      </c>
    </row>
    <row r="8" spans="1:49">
      <c r="A8" s="3">
        <v>6</v>
      </c>
      <c r="B8" s="3" t="s">
        <v>55</v>
      </c>
      <c r="C8" t="s">
        <v>56</v>
      </c>
      <c r="D8" s="3" t="s">
        <v>57</v>
      </c>
      <c r="E8" s="4">
        <v>0</v>
      </c>
      <c r="F8" s="4">
        <v>0</v>
      </c>
      <c r="G8" s="5">
        <v>1.0</v>
      </c>
      <c r="H8" s="6">
        <v>4975.56</v>
      </c>
      <c r="I8" s="4">
        <v>0</v>
      </c>
      <c r="J8" s="4">
        <v>0</v>
      </c>
      <c r="K8" s="5">
        <v>1.272726</v>
      </c>
      <c r="L8" s="6">
        <v>6332.524577</v>
      </c>
      <c r="M8" s="7">
        <v>0.21428492857064</v>
      </c>
      <c r="N8" s="5">
        <v>1.0</v>
      </c>
      <c r="O8" s="5">
        <v>0.090909</v>
      </c>
      <c r="P8" s="4">
        <v>0</v>
      </c>
      <c r="Q8" s="4">
        <v>0</v>
      </c>
      <c r="R8" s="4">
        <v>0</v>
      </c>
      <c r="S8" s="4">
        <v>0</v>
      </c>
      <c r="T8" s="5">
        <v>0.166666</v>
      </c>
      <c r="U8" s="8" t="s">
        <v>46</v>
      </c>
      <c r="V8" s="6">
        <v>4650.56</v>
      </c>
      <c r="W8" s="6">
        <v>4650.56</v>
      </c>
      <c r="X8" s="6">
        <v>5878.505</v>
      </c>
      <c r="Y8" s="6">
        <v>5878.505</v>
      </c>
      <c r="Z8" s="6">
        <v>1227.945</v>
      </c>
      <c r="AA8" s="6">
        <v>1227.945</v>
      </c>
      <c r="AB8" s="10">
        <v>0.20888729362312</v>
      </c>
      <c r="AC8" s="5">
        <v>1.0</v>
      </c>
      <c r="AD8" s="4">
        <v>0</v>
      </c>
      <c r="AE8" s="4">
        <v>0</v>
      </c>
      <c r="AF8" s="4">
        <v>0</v>
      </c>
      <c r="AG8" s="3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3">
        <v>0</v>
      </c>
      <c r="AQ8" s="4">
        <v>0</v>
      </c>
      <c r="AR8" s="4">
        <v>0</v>
      </c>
      <c r="AS8" s="4">
        <v>0</v>
      </c>
      <c r="AT8" s="4">
        <v>0</v>
      </c>
      <c r="AU8" s="3">
        <v>0</v>
      </c>
      <c r="AV8" s="4">
        <v>0</v>
      </c>
      <c r="AW8" s="4">
        <v>0</v>
      </c>
    </row>
    <row r="9" spans="1:49">
      <c r="A9" s="3">
        <v>7</v>
      </c>
      <c r="B9" s="3" t="s">
        <v>58</v>
      </c>
      <c r="C9" t="s">
        <v>59</v>
      </c>
      <c r="D9" s="3" t="s">
        <v>60</v>
      </c>
      <c r="E9" s="5">
        <v>9.0</v>
      </c>
      <c r="F9" s="6">
        <v>3644.991</v>
      </c>
      <c r="G9" s="5">
        <v>12.0</v>
      </c>
      <c r="H9" s="6">
        <v>4859.988</v>
      </c>
      <c r="I9" s="4">
        <v>0</v>
      </c>
      <c r="J9" s="4">
        <v>0</v>
      </c>
      <c r="K9" s="5">
        <v>34.36363</v>
      </c>
      <c r="L9" s="6">
        <v>13499.717682</v>
      </c>
      <c r="M9" s="7">
        <v>0.6507935861258</v>
      </c>
      <c r="N9" s="5">
        <v>27.0</v>
      </c>
      <c r="O9" s="5">
        <v>2.454545</v>
      </c>
      <c r="P9" s="4">
        <v>0</v>
      </c>
      <c r="Q9" s="4">
        <v>0</v>
      </c>
      <c r="R9" s="4">
        <v>0</v>
      </c>
      <c r="S9" s="4">
        <v>0</v>
      </c>
      <c r="T9" s="5">
        <v>4.5</v>
      </c>
      <c r="U9" s="8" t="s">
        <v>46</v>
      </c>
      <c r="V9" s="6">
        <v>10049.279</v>
      </c>
      <c r="W9" s="6">
        <v>372.19551851852</v>
      </c>
      <c r="X9" s="6">
        <v>14364.506</v>
      </c>
      <c r="Y9" s="6">
        <v>532.01874074074</v>
      </c>
      <c r="Z9" s="6">
        <v>4315.227</v>
      </c>
      <c r="AA9" s="6">
        <v>159.82322222222</v>
      </c>
      <c r="AB9" s="9">
        <v>0.30040900814828</v>
      </c>
      <c r="AC9" s="5">
        <v>27.0</v>
      </c>
      <c r="AD9" s="4">
        <v>0</v>
      </c>
      <c r="AE9" s="4">
        <v>0</v>
      </c>
      <c r="AF9" s="4">
        <v>0</v>
      </c>
      <c r="AG9" s="3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3">
        <v>0</v>
      </c>
      <c r="AQ9" s="4">
        <v>0</v>
      </c>
      <c r="AR9" s="4">
        <v>0</v>
      </c>
      <c r="AS9" s="4">
        <v>0</v>
      </c>
      <c r="AT9" s="4">
        <v>0</v>
      </c>
      <c r="AU9" s="3">
        <v>0</v>
      </c>
      <c r="AV9" s="4">
        <v>0</v>
      </c>
      <c r="AW9" s="4">
        <v>0</v>
      </c>
    </row>
    <row r="10" spans="1:49">
      <c r="A10" s="3">
        <v>8</v>
      </c>
      <c r="B10" s="3" t="s">
        <v>61</v>
      </c>
      <c r="C10" t="s">
        <v>62</v>
      </c>
      <c r="D10" s="3" t="s">
        <v>45</v>
      </c>
      <c r="E10" s="4">
        <v>0</v>
      </c>
      <c r="F10" s="4">
        <v>0</v>
      </c>
      <c r="G10" s="5">
        <v>2.0</v>
      </c>
      <c r="H10" s="6">
        <v>4704.0</v>
      </c>
      <c r="I10" s="4">
        <v>0</v>
      </c>
      <c r="J10" s="4">
        <v>0</v>
      </c>
      <c r="K10" s="5">
        <v>2.545452</v>
      </c>
      <c r="L10" s="6">
        <v>5924.53953</v>
      </c>
      <c r="M10" s="7">
        <v>0.21428492857064</v>
      </c>
      <c r="N10" s="5">
        <v>2.0</v>
      </c>
      <c r="O10" s="5">
        <v>0.181818</v>
      </c>
      <c r="P10" s="4">
        <v>0</v>
      </c>
      <c r="Q10" s="4">
        <v>0</v>
      </c>
      <c r="R10" s="4">
        <v>0</v>
      </c>
      <c r="S10" s="4">
        <v>0</v>
      </c>
      <c r="T10" s="5">
        <v>0.333333</v>
      </c>
      <c r="U10" s="8" t="s">
        <v>46</v>
      </c>
      <c r="V10" s="6">
        <v>4396.26</v>
      </c>
      <c r="W10" s="6">
        <v>2198.13</v>
      </c>
      <c r="X10" s="6">
        <v>5981.304</v>
      </c>
      <c r="Y10" s="6">
        <v>2990.652</v>
      </c>
      <c r="Z10" s="6">
        <v>1585.044</v>
      </c>
      <c r="AA10" s="6">
        <v>792.522</v>
      </c>
      <c r="AB10" s="9">
        <v>0.26499973918731</v>
      </c>
      <c r="AC10" s="5">
        <v>2.0</v>
      </c>
      <c r="AD10" s="4">
        <v>0</v>
      </c>
      <c r="AE10" s="4">
        <v>0</v>
      </c>
      <c r="AF10" s="4">
        <v>0</v>
      </c>
      <c r="AG10" s="3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3">
        <v>0</v>
      </c>
      <c r="AQ10" s="4">
        <v>0</v>
      </c>
      <c r="AR10" s="4">
        <v>0</v>
      </c>
      <c r="AS10" s="4">
        <v>0</v>
      </c>
      <c r="AT10" s="4">
        <v>0</v>
      </c>
      <c r="AU10" s="3">
        <v>0</v>
      </c>
      <c r="AV10" s="4">
        <v>0</v>
      </c>
      <c r="AW10" s="4">
        <v>0</v>
      </c>
    </row>
    <row r="11" spans="1:49">
      <c r="A11" s="3">
        <v>9</v>
      </c>
      <c r="B11" s="3" t="s">
        <v>63</v>
      </c>
      <c r="C11" t="s">
        <v>64</v>
      </c>
      <c r="D11" s="3" t="s">
        <v>45</v>
      </c>
      <c r="E11" s="4">
        <v>0</v>
      </c>
      <c r="F11" s="4">
        <v>0</v>
      </c>
      <c r="G11" s="5">
        <v>1.0</v>
      </c>
      <c r="H11" s="6">
        <v>4330.58</v>
      </c>
      <c r="I11" s="4">
        <v>0</v>
      </c>
      <c r="J11" s="4">
        <v>0</v>
      </c>
      <c r="K11" s="5">
        <v>1.272726</v>
      </c>
      <c r="L11" s="6">
        <v>5511.641761</v>
      </c>
      <c r="M11" s="7">
        <v>0.21428492857064</v>
      </c>
      <c r="N11" s="5">
        <v>1.0</v>
      </c>
      <c r="O11" s="5">
        <v>0.090909</v>
      </c>
      <c r="P11" s="4">
        <v>0</v>
      </c>
      <c r="Q11" s="4">
        <v>0</v>
      </c>
      <c r="R11" s="4">
        <v>0</v>
      </c>
      <c r="S11" s="4">
        <v>0</v>
      </c>
      <c r="T11" s="5">
        <v>0.166666</v>
      </c>
      <c r="U11" s="8" t="s">
        <v>46</v>
      </c>
      <c r="V11" s="6">
        <v>4047.71</v>
      </c>
      <c r="W11" s="6">
        <v>4047.71</v>
      </c>
      <c r="X11" s="6">
        <v>5224.299</v>
      </c>
      <c r="Y11" s="6">
        <v>5224.299</v>
      </c>
      <c r="Z11" s="6">
        <v>1176.589</v>
      </c>
      <c r="AA11" s="6">
        <v>1176.589</v>
      </c>
      <c r="AB11" s="10">
        <v>0.225214713017</v>
      </c>
      <c r="AC11" s="5">
        <v>1.0</v>
      </c>
      <c r="AD11" s="4">
        <v>0</v>
      </c>
      <c r="AE11" s="4">
        <v>0</v>
      </c>
      <c r="AF11" s="4">
        <v>0</v>
      </c>
      <c r="AG11" s="3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3">
        <v>0</v>
      </c>
      <c r="AQ11" s="4">
        <v>0</v>
      </c>
      <c r="AR11" s="4">
        <v>0</v>
      </c>
      <c r="AS11" s="4">
        <v>0</v>
      </c>
      <c r="AT11" s="4">
        <v>0</v>
      </c>
      <c r="AU11" s="3">
        <v>0</v>
      </c>
      <c r="AV11" s="4">
        <v>0</v>
      </c>
      <c r="AW11" s="4">
        <v>0</v>
      </c>
    </row>
    <row r="12" spans="1:49">
      <c r="A12" s="3">
        <v>10</v>
      </c>
      <c r="B12" s="3" t="s">
        <v>65</v>
      </c>
      <c r="C12" t="s">
        <v>66</v>
      </c>
      <c r="D12" s="3" t="s">
        <v>57</v>
      </c>
      <c r="E12" s="4">
        <v>0</v>
      </c>
      <c r="F12" s="4">
        <v>0</v>
      </c>
      <c r="G12" s="5">
        <v>8.0</v>
      </c>
      <c r="H12" s="6">
        <v>4104.0</v>
      </c>
      <c r="I12" s="4">
        <v>0</v>
      </c>
      <c r="J12" s="4">
        <v>0</v>
      </c>
      <c r="K12" s="5">
        <v>10.181808</v>
      </c>
      <c r="L12" s="6">
        <v>5223.267504</v>
      </c>
      <c r="M12" s="7">
        <v>0.21428492857064</v>
      </c>
      <c r="N12" s="5">
        <v>8.0</v>
      </c>
      <c r="O12" s="5">
        <v>0.727272</v>
      </c>
      <c r="P12" s="4">
        <v>0</v>
      </c>
      <c r="Q12" s="4">
        <v>0</v>
      </c>
      <c r="R12" s="4">
        <v>0</v>
      </c>
      <c r="S12" s="4">
        <v>0</v>
      </c>
      <c r="T12" s="5">
        <v>1.333333</v>
      </c>
      <c r="U12" s="8" t="s">
        <v>46</v>
      </c>
      <c r="V12" s="6">
        <v>3835.52</v>
      </c>
      <c r="W12" s="6">
        <v>479.44</v>
      </c>
      <c r="X12" s="6">
        <v>6542.071</v>
      </c>
      <c r="Y12" s="6">
        <v>817.758875</v>
      </c>
      <c r="Z12" s="6">
        <v>2706.551</v>
      </c>
      <c r="AA12" s="6">
        <v>338.318875</v>
      </c>
      <c r="AB12" s="9">
        <v>0.41371470899659</v>
      </c>
      <c r="AC12" s="5">
        <v>8.0</v>
      </c>
      <c r="AD12" s="4">
        <v>0</v>
      </c>
      <c r="AE12" s="4">
        <v>0</v>
      </c>
      <c r="AF12" s="4">
        <v>0</v>
      </c>
      <c r="AG12" s="3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3">
        <v>0</v>
      </c>
      <c r="AQ12" s="4">
        <v>0</v>
      </c>
      <c r="AR12" s="4">
        <v>0</v>
      </c>
      <c r="AS12" s="4">
        <v>0</v>
      </c>
      <c r="AT12" s="4">
        <v>0</v>
      </c>
      <c r="AU12" s="3">
        <v>0</v>
      </c>
      <c r="AV12" s="4">
        <v>0</v>
      </c>
      <c r="AW12" s="4">
        <v>0</v>
      </c>
    </row>
    <row r="13" spans="1:49">
      <c r="A13" s="3">
        <v>11</v>
      </c>
      <c r="B13" s="3" t="s">
        <v>67</v>
      </c>
      <c r="C13" t="s">
        <v>68</v>
      </c>
      <c r="D13" s="3" t="s">
        <v>45</v>
      </c>
      <c r="E13" s="4">
        <v>0</v>
      </c>
      <c r="F13" s="4">
        <v>0</v>
      </c>
      <c r="G13" s="5">
        <v>2.0</v>
      </c>
      <c r="H13" s="6">
        <v>3666.6</v>
      </c>
      <c r="I13" s="4">
        <v>0</v>
      </c>
      <c r="J13" s="4">
        <v>0</v>
      </c>
      <c r="K13" s="5">
        <v>1.272726</v>
      </c>
      <c r="L13" s="6">
        <v>2333.288576</v>
      </c>
      <c r="M13" s="11">
        <v>-0.57143014285871</v>
      </c>
      <c r="N13" s="5">
        <v>1.0</v>
      </c>
      <c r="O13" s="5">
        <v>0.090909</v>
      </c>
      <c r="P13" s="4">
        <v>0</v>
      </c>
      <c r="Q13" s="4">
        <v>0</v>
      </c>
      <c r="R13" s="4">
        <v>0</v>
      </c>
      <c r="S13" s="4">
        <v>0</v>
      </c>
      <c r="T13" s="5">
        <v>0.166666</v>
      </c>
      <c r="U13" s="8" t="s">
        <v>46</v>
      </c>
      <c r="V13" s="6">
        <v>1713.37</v>
      </c>
      <c r="W13" s="6">
        <v>1713.37</v>
      </c>
      <c r="X13" s="6">
        <v>2794.393</v>
      </c>
      <c r="Y13" s="6">
        <v>2794.393</v>
      </c>
      <c r="Z13" s="6">
        <v>1081.023</v>
      </c>
      <c r="AA13" s="6">
        <v>1081.023</v>
      </c>
      <c r="AB13" s="9">
        <v>0.3868543186302</v>
      </c>
      <c r="AC13" s="5">
        <v>1.0</v>
      </c>
      <c r="AD13" s="4">
        <v>0</v>
      </c>
      <c r="AE13" s="4">
        <v>0</v>
      </c>
      <c r="AF13" s="4">
        <v>0</v>
      </c>
      <c r="AG13" s="3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3">
        <v>0</v>
      </c>
      <c r="AQ13" s="4">
        <v>0</v>
      </c>
      <c r="AR13" s="4">
        <v>0</v>
      </c>
      <c r="AS13" s="4">
        <v>0</v>
      </c>
      <c r="AT13" s="4">
        <v>0</v>
      </c>
      <c r="AU13" s="3">
        <v>0</v>
      </c>
      <c r="AV13" s="4">
        <v>0</v>
      </c>
      <c r="AW13" s="4">
        <v>0</v>
      </c>
    </row>
    <row r="14" spans="1:49">
      <c r="A14" s="3">
        <v>12</v>
      </c>
      <c r="B14" s="3" t="s">
        <v>69</v>
      </c>
      <c r="C14" t="s">
        <v>70</v>
      </c>
      <c r="D14" s="3" t="s">
        <v>45</v>
      </c>
      <c r="E14" s="5">
        <v>6.0</v>
      </c>
      <c r="F14" s="6">
        <v>17192.501</v>
      </c>
      <c r="G14" s="5">
        <v>1.0</v>
      </c>
      <c r="H14" s="6">
        <v>3511.4</v>
      </c>
      <c r="I14" s="4">
        <v>0</v>
      </c>
      <c r="J14" s="4">
        <v>0</v>
      </c>
      <c r="K14" s="5">
        <v>1.272726</v>
      </c>
      <c r="L14" s="6">
        <v>4469.050076</v>
      </c>
      <c r="M14" s="7">
        <v>0.21428492857064</v>
      </c>
      <c r="N14" s="5">
        <v>1.0</v>
      </c>
      <c r="O14" s="5">
        <v>0.090909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8" t="s">
        <v>46</v>
      </c>
      <c r="V14" s="6">
        <v>3281.68</v>
      </c>
      <c r="W14" s="6">
        <v>3281.68</v>
      </c>
      <c r="X14" s="6">
        <v>4009.346</v>
      </c>
      <c r="Y14" s="6">
        <v>4009.346</v>
      </c>
      <c r="Z14" s="6">
        <v>727.666</v>
      </c>
      <c r="AA14" s="6">
        <v>727.666</v>
      </c>
      <c r="AB14" s="10">
        <v>0.18149244290715</v>
      </c>
      <c r="AC14" s="5">
        <v>1.0</v>
      </c>
      <c r="AD14" s="4">
        <v>0</v>
      </c>
      <c r="AE14" s="4">
        <v>0</v>
      </c>
      <c r="AF14" s="4">
        <v>0</v>
      </c>
      <c r="AG14" s="3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3">
        <v>0</v>
      </c>
      <c r="AQ14" s="4">
        <v>0</v>
      </c>
      <c r="AR14" s="4">
        <v>0</v>
      </c>
      <c r="AS14" s="4">
        <v>0</v>
      </c>
      <c r="AT14" s="4">
        <v>0</v>
      </c>
      <c r="AU14" s="3">
        <v>0</v>
      </c>
      <c r="AV14" s="4">
        <v>0</v>
      </c>
      <c r="AW14" s="4">
        <v>0</v>
      </c>
    </row>
    <row r="15" spans="1:49">
      <c r="A15" s="3">
        <v>13</v>
      </c>
      <c r="B15" s="3" t="s">
        <v>71</v>
      </c>
      <c r="C15" t="s">
        <v>72</v>
      </c>
      <c r="D15" s="3" t="s">
        <v>45</v>
      </c>
      <c r="E15" s="4">
        <v>0</v>
      </c>
      <c r="F15" s="4">
        <v>0</v>
      </c>
      <c r="G15" s="5">
        <v>1.0</v>
      </c>
      <c r="H15" s="6">
        <v>3059.001</v>
      </c>
      <c r="I15" s="4">
        <v>0</v>
      </c>
      <c r="J15" s="4">
        <v>0</v>
      </c>
      <c r="K15" s="5">
        <v>1.272726</v>
      </c>
      <c r="L15" s="6">
        <v>3893.270107</v>
      </c>
      <c r="M15" s="7">
        <v>0.21428492857064</v>
      </c>
      <c r="N15" s="5">
        <v>1.0</v>
      </c>
      <c r="O15" s="5">
        <v>0.090909</v>
      </c>
      <c r="P15" s="4">
        <v>0</v>
      </c>
      <c r="Q15" s="4">
        <v>0</v>
      </c>
      <c r="R15" s="4">
        <v>0</v>
      </c>
      <c r="S15" s="4">
        <v>0</v>
      </c>
      <c r="T15" s="5">
        <v>0.166666</v>
      </c>
      <c r="U15" s="8" t="s">
        <v>46</v>
      </c>
      <c r="V15" s="6">
        <v>2858.88</v>
      </c>
      <c r="W15" s="6">
        <v>2858.88</v>
      </c>
      <c r="X15" s="6">
        <v>3728.972</v>
      </c>
      <c r="Y15" s="6">
        <v>3728.972</v>
      </c>
      <c r="Z15" s="6">
        <v>870.092</v>
      </c>
      <c r="AA15" s="6">
        <v>870.092</v>
      </c>
      <c r="AB15" s="10">
        <v>0.23333294001671</v>
      </c>
      <c r="AC15" s="5">
        <v>1.0</v>
      </c>
      <c r="AD15" s="4">
        <v>0</v>
      </c>
      <c r="AE15" s="4">
        <v>0</v>
      </c>
      <c r="AF15" s="4">
        <v>0</v>
      </c>
      <c r="AG15" s="3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3">
        <v>0</v>
      </c>
      <c r="AQ15" s="4">
        <v>0</v>
      </c>
      <c r="AR15" s="4">
        <v>0</v>
      </c>
      <c r="AS15" s="4">
        <v>0</v>
      </c>
      <c r="AT15" s="4">
        <v>0</v>
      </c>
      <c r="AU15" s="3">
        <v>0</v>
      </c>
      <c r="AV15" s="4">
        <v>0</v>
      </c>
      <c r="AW15" s="4">
        <v>0</v>
      </c>
    </row>
    <row r="16" spans="1:49">
      <c r="A16" s="3">
        <v>14</v>
      </c>
      <c r="B16" s="3" t="s">
        <v>73</v>
      </c>
      <c r="C16" t="s">
        <v>74</v>
      </c>
      <c r="D16" s="3" t="s">
        <v>45</v>
      </c>
      <c r="E16" s="5">
        <v>2.0</v>
      </c>
      <c r="F16" s="6">
        <v>3000.0</v>
      </c>
      <c r="G16" s="5">
        <v>2.0</v>
      </c>
      <c r="H16" s="6">
        <v>3000.0</v>
      </c>
      <c r="I16" s="4">
        <v>0</v>
      </c>
      <c r="J16" s="4">
        <v>0</v>
      </c>
      <c r="K16" s="5">
        <v>2.545452</v>
      </c>
      <c r="L16" s="6">
        <v>3818.178</v>
      </c>
      <c r="M16" s="7">
        <v>0.21428492857064</v>
      </c>
      <c r="N16" s="5">
        <v>2.0</v>
      </c>
      <c r="O16" s="5">
        <v>0.181818</v>
      </c>
      <c r="P16" s="4">
        <v>0</v>
      </c>
      <c r="Q16" s="4">
        <v>0</v>
      </c>
      <c r="R16" s="4">
        <v>0</v>
      </c>
      <c r="S16" s="4">
        <v>0</v>
      </c>
      <c r="T16" s="5">
        <v>0.333333</v>
      </c>
      <c r="U16" s="8" t="s">
        <v>46</v>
      </c>
      <c r="V16" s="6">
        <v>2803.74</v>
      </c>
      <c r="W16" s="6">
        <v>1401.87</v>
      </c>
      <c r="X16" s="6">
        <v>3700.937</v>
      </c>
      <c r="Y16" s="6">
        <v>1850.4685</v>
      </c>
      <c r="Z16" s="6">
        <v>897.197</v>
      </c>
      <c r="AA16" s="6">
        <v>448.5985</v>
      </c>
      <c r="AB16" s="10">
        <v>0.24242428336392</v>
      </c>
      <c r="AC16" s="5">
        <v>2.0</v>
      </c>
      <c r="AD16" s="4">
        <v>0</v>
      </c>
      <c r="AE16" s="4">
        <v>0</v>
      </c>
      <c r="AF16" s="4">
        <v>0</v>
      </c>
      <c r="AG16" s="3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3">
        <v>0</v>
      </c>
      <c r="AQ16" s="4">
        <v>0</v>
      </c>
      <c r="AR16" s="4">
        <v>0</v>
      </c>
      <c r="AS16" s="4">
        <v>0</v>
      </c>
      <c r="AT16" s="4">
        <v>0</v>
      </c>
      <c r="AU16" s="3">
        <v>0</v>
      </c>
      <c r="AV16" s="4">
        <v>0</v>
      </c>
      <c r="AW16" s="4">
        <v>0</v>
      </c>
    </row>
    <row r="17" spans="1:49">
      <c r="A17" s="3">
        <v>15</v>
      </c>
      <c r="B17" s="3" t="s">
        <v>75</v>
      </c>
      <c r="C17" t="s">
        <v>76</v>
      </c>
      <c r="D17" s="3" t="s">
        <v>45</v>
      </c>
      <c r="E17" s="4">
        <v>0</v>
      </c>
      <c r="F17" s="4">
        <v>0</v>
      </c>
      <c r="G17" s="5">
        <v>22.0</v>
      </c>
      <c r="H17" s="6">
        <v>2600.02</v>
      </c>
      <c r="I17" s="4">
        <v>0</v>
      </c>
      <c r="J17" s="4">
        <v>0</v>
      </c>
      <c r="K17" s="5">
        <v>33.090904</v>
      </c>
      <c r="L17" s="6">
        <v>4172.762994</v>
      </c>
      <c r="M17" s="7">
        <v>0.33516473288249</v>
      </c>
      <c r="N17" s="5">
        <v>26.0</v>
      </c>
      <c r="O17" s="5">
        <v>2.363636</v>
      </c>
      <c r="P17" s="5">
        <v>10.0</v>
      </c>
      <c r="Q17" s="5">
        <v>10.0</v>
      </c>
      <c r="R17" s="4">
        <v>0</v>
      </c>
      <c r="S17" s="4">
        <v>0</v>
      </c>
      <c r="T17" s="5">
        <v>5.0</v>
      </c>
      <c r="U17" s="8" t="s">
        <v>46</v>
      </c>
      <c r="V17" s="6">
        <v>2915.88</v>
      </c>
      <c r="W17" s="6">
        <v>112.14923076923</v>
      </c>
      <c r="X17" s="6">
        <v>4927.57</v>
      </c>
      <c r="Y17" s="6">
        <v>189.52192307692</v>
      </c>
      <c r="Z17" s="6">
        <v>2011.69</v>
      </c>
      <c r="AA17" s="6">
        <v>77.372692307692</v>
      </c>
      <c r="AB17" s="9">
        <v>0.4082519375676</v>
      </c>
      <c r="AC17" s="5">
        <v>26.0</v>
      </c>
      <c r="AD17" s="4">
        <v>0</v>
      </c>
      <c r="AE17" s="4">
        <v>0</v>
      </c>
      <c r="AF17" s="4">
        <v>0</v>
      </c>
      <c r="AG17" s="3">
        <v>0</v>
      </c>
      <c r="AH17" s="4">
        <v>0</v>
      </c>
      <c r="AI17" s="4">
        <v>0</v>
      </c>
      <c r="AJ17" s="6">
        <v>1082.52</v>
      </c>
      <c r="AK17" s="6">
        <v>108.252</v>
      </c>
      <c r="AL17" s="6">
        <v>1900.0</v>
      </c>
      <c r="AM17" s="6">
        <v>190.0</v>
      </c>
      <c r="AN17" s="6">
        <v>817.48</v>
      </c>
      <c r="AO17" s="6">
        <v>81.748</v>
      </c>
      <c r="AP17" s="9">
        <v>0.43025263157895</v>
      </c>
      <c r="AQ17" s="5">
        <v>10.0</v>
      </c>
      <c r="AR17" s="4">
        <v>0</v>
      </c>
      <c r="AS17" s="4">
        <v>0</v>
      </c>
      <c r="AT17" s="4">
        <v>0</v>
      </c>
      <c r="AU17" s="3">
        <v>0</v>
      </c>
      <c r="AV17" s="4">
        <v>0</v>
      </c>
      <c r="AW17" s="4">
        <v>0</v>
      </c>
    </row>
    <row r="18" spans="1:49">
      <c r="A18" s="3">
        <v>16</v>
      </c>
      <c r="B18" s="3" t="s">
        <v>77</v>
      </c>
      <c r="C18" t="s">
        <v>78</v>
      </c>
      <c r="D18" s="3" t="s">
        <v>45</v>
      </c>
      <c r="E18" s="5">
        <v>2.0</v>
      </c>
      <c r="F18" s="6">
        <v>2500.002</v>
      </c>
      <c r="G18" s="5">
        <v>2.0</v>
      </c>
      <c r="H18" s="6">
        <v>2500.002</v>
      </c>
      <c r="I18" s="4">
        <v>0</v>
      </c>
      <c r="J18" s="4">
        <v>0</v>
      </c>
      <c r="K18" s="5">
        <v>2.545452</v>
      </c>
      <c r="L18" s="6">
        <v>3181.817545</v>
      </c>
      <c r="M18" s="7">
        <v>0.21428492857064</v>
      </c>
      <c r="N18" s="5">
        <v>2.0</v>
      </c>
      <c r="O18" s="5">
        <v>0.181818</v>
      </c>
      <c r="P18" s="4">
        <v>0</v>
      </c>
      <c r="Q18" s="4">
        <v>0</v>
      </c>
      <c r="R18" s="4">
        <v>0</v>
      </c>
      <c r="S18" s="4">
        <v>0</v>
      </c>
      <c r="T18" s="5">
        <v>0.333333</v>
      </c>
      <c r="U18" s="8" t="s">
        <v>46</v>
      </c>
      <c r="V18" s="6">
        <v>2336.45</v>
      </c>
      <c r="W18" s="6">
        <v>1168.225</v>
      </c>
      <c r="X18" s="6">
        <v>3158.879</v>
      </c>
      <c r="Y18" s="6">
        <v>1579.4395</v>
      </c>
      <c r="Z18" s="6">
        <v>822.429</v>
      </c>
      <c r="AA18" s="6">
        <v>411.2145</v>
      </c>
      <c r="AB18" s="9">
        <v>0.2603547017787</v>
      </c>
      <c r="AC18" s="5">
        <v>2.0</v>
      </c>
      <c r="AD18" s="4">
        <v>0</v>
      </c>
      <c r="AE18" s="4">
        <v>0</v>
      </c>
      <c r="AF18" s="4">
        <v>0</v>
      </c>
      <c r="AG18" s="3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3">
        <v>0</v>
      </c>
      <c r="AQ18" s="4">
        <v>0</v>
      </c>
      <c r="AR18" s="4">
        <v>0</v>
      </c>
      <c r="AS18" s="4">
        <v>0</v>
      </c>
      <c r="AT18" s="4">
        <v>0</v>
      </c>
      <c r="AU18" s="3">
        <v>0</v>
      </c>
      <c r="AV18" s="4">
        <v>0</v>
      </c>
      <c r="AW18" s="4">
        <v>0</v>
      </c>
    </row>
    <row r="19" spans="1:49">
      <c r="A19" s="3">
        <v>17</v>
      </c>
      <c r="B19" s="3" t="s">
        <v>79</v>
      </c>
      <c r="C19" t="s">
        <v>80</v>
      </c>
      <c r="D19" s="3" t="s">
        <v>57</v>
      </c>
      <c r="E19" s="4">
        <v>0</v>
      </c>
      <c r="F19" s="4">
        <v>0</v>
      </c>
      <c r="G19" s="5">
        <v>2.0</v>
      </c>
      <c r="H19" s="6">
        <v>2375.0</v>
      </c>
      <c r="I19" s="4">
        <v>0</v>
      </c>
      <c r="J19" s="4">
        <v>0</v>
      </c>
      <c r="K19" s="5">
        <v>2.545452</v>
      </c>
      <c r="L19" s="6">
        <v>3022.72425</v>
      </c>
      <c r="M19" s="7">
        <v>0.21428492857064</v>
      </c>
      <c r="N19" s="5">
        <v>2.0</v>
      </c>
      <c r="O19" s="5">
        <v>0.181818</v>
      </c>
      <c r="P19" s="4">
        <v>0</v>
      </c>
      <c r="Q19" s="4">
        <v>0</v>
      </c>
      <c r="R19" s="4">
        <v>0</v>
      </c>
      <c r="S19" s="4">
        <v>0</v>
      </c>
      <c r="T19" s="5">
        <v>0.333333</v>
      </c>
      <c r="U19" s="8" t="s">
        <v>46</v>
      </c>
      <c r="V19" s="6">
        <v>2219.63</v>
      </c>
      <c r="W19" s="6">
        <v>1109.815</v>
      </c>
      <c r="X19" s="6">
        <v>3158.878</v>
      </c>
      <c r="Y19" s="6">
        <v>1579.439</v>
      </c>
      <c r="Z19" s="6">
        <v>939.248</v>
      </c>
      <c r="AA19" s="6">
        <v>469.624</v>
      </c>
      <c r="AB19" s="9">
        <v>0.29733595282882</v>
      </c>
      <c r="AC19" s="5">
        <v>2.0</v>
      </c>
      <c r="AD19" s="4">
        <v>0</v>
      </c>
      <c r="AE19" s="4">
        <v>0</v>
      </c>
      <c r="AF19" s="4">
        <v>0</v>
      </c>
      <c r="AG19" s="3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3">
        <v>0</v>
      </c>
      <c r="AQ19" s="4">
        <v>0</v>
      </c>
      <c r="AR19" s="4">
        <v>0</v>
      </c>
      <c r="AS19" s="4">
        <v>0</v>
      </c>
      <c r="AT19" s="4">
        <v>0</v>
      </c>
      <c r="AU19" s="3">
        <v>0</v>
      </c>
      <c r="AV19" s="4">
        <v>0</v>
      </c>
      <c r="AW19" s="4">
        <v>0</v>
      </c>
    </row>
    <row r="20" spans="1:49">
      <c r="A20" s="3">
        <v>18</v>
      </c>
      <c r="B20" s="3" t="s">
        <v>81</v>
      </c>
      <c r="C20" t="s">
        <v>82</v>
      </c>
      <c r="D20" s="3" t="s">
        <v>57</v>
      </c>
      <c r="E20" s="5">
        <v>10.0</v>
      </c>
      <c r="F20" s="6">
        <v>450.0</v>
      </c>
      <c r="G20" s="5">
        <v>50.0</v>
      </c>
      <c r="H20" s="6">
        <v>2250.0</v>
      </c>
      <c r="I20" s="4">
        <v>0</v>
      </c>
      <c r="J20" s="4">
        <v>0</v>
      </c>
      <c r="K20" s="5">
        <v>68.72726</v>
      </c>
      <c r="L20" s="6">
        <v>3436.363</v>
      </c>
      <c r="M20" s="7">
        <v>0.27248663776208</v>
      </c>
      <c r="N20" s="5">
        <v>54.0</v>
      </c>
      <c r="O20" s="5">
        <v>4.90909</v>
      </c>
      <c r="P20" s="5">
        <v>1.0</v>
      </c>
      <c r="Q20" s="5">
        <v>1.0</v>
      </c>
      <c r="R20" s="4">
        <v>0</v>
      </c>
      <c r="S20" s="4">
        <v>0</v>
      </c>
      <c r="T20" s="5">
        <v>8.833333</v>
      </c>
      <c r="U20" s="8" t="s">
        <v>46</v>
      </c>
      <c r="V20" s="6">
        <v>2336.43</v>
      </c>
      <c r="W20" s="6">
        <v>43.267222222222</v>
      </c>
      <c r="X20" s="6">
        <v>4018.758</v>
      </c>
      <c r="Y20" s="6">
        <v>74.421444444444</v>
      </c>
      <c r="Z20" s="6">
        <v>1682.328</v>
      </c>
      <c r="AA20" s="6">
        <v>31.154222222222</v>
      </c>
      <c r="AB20" s="9">
        <v>0.41861888673068</v>
      </c>
      <c r="AC20" s="5">
        <v>54.0</v>
      </c>
      <c r="AD20" s="4">
        <v>0</v>
      </c>
      <c r="AE20" s="4">
        <v>0</v>
      </c>
      <c r="AF20" s="4">
        <v>0</v>
      </c>
      <c r="AG20" s="3">
        <v>0</v>
      </c>
      <c r="AH20" s="4">
        <v>0</v>
      </c>
      <c r="AI20" s="4">
        <v>0</v>
      </c>
      <c r="AJ20" s="6">
        <v>46.73</v>
      </c>
      <c r="AK20" s="6">
        <v>46.73</v>
      </c>
      <c r="AL20" s="4">
        <v>0</v>
      </c>
      <c r="AM20" s="6">
        <v>0.0</v>
      </c>
      <c r="AN20" s="6">
        <v>-46.73</v>
      </c>
      <c r="AO20" s="6">
        <v>-46.73</v>
      </c>
      <c r="AP20" s="12">
        <v>0</v>
      </c>
      <c r="AQ20" s="5">
        <v>1.0</v>
      </c>
      <c r="AR20" s="4">
        <v>0</v>
      </c>
      <c r="AS20" s="4">
        <v>0</v>
      </c>
      <c r="AT20" s="4">
        <v>0</v>
      </c>
      <c r="AU20" s="3">
        <v>0</v>
      </c>
      <c r="AV20" s="4">
        <v>0</v>
      </c>
      <c r="AW20" s="4">
        <v>0</v>
      </c>
    </row>
    <row r="21" spans="1:49">
      <c r="A21" s="3">
        <v>19</v>
      </c>
      <c r="B21" s="3" t="s">
        <v>83</v>
      </c>
      <c r="C21" t="s">
        <v>84</v>
      </c>
      <c r="D21" s="3" t="s">
        <v>57</v>
      </c>
      <c r="E21" s="4">
        <v>0</v>
      </c>
      <c r="F21" s="4">
        <v>0</v>
      </c>
      <c r="G21" s="5">
        <v>30.0</v>
      </c>
      <c r="H21" s="6">
        <v>1674.0</v>
      </c>
      <c r="I21" s="4">
        <v>0</v>
      </c>
      <c r="J21" s="4">
        <v>0</v>
      </c>
      <c r="K21" s="5">
        <v>38.181808</v>
      </c>
      <c r="L21" s="6">
        <v>2367.272096</v>
      </c>
      <c r="M21" s="7">
        <v>0.21428550476185</v>
      </c>
      <c r="N21" s="5">
        <v>30.0</v>
      </c>
      <c r="O21" s="5">
        <v>2.727272</v>
      </c>
      <c r="P21" s="5">
        <v>1.0</v>
      </c>
      <c r="Q21" s="5">
        <v>1.0</v>
      </c>
      <c r="R21" s="4">
        <v>0</v>
      </c>
      <c r="S21" s="4">
        <v>0</v>
      </c>
      <c r="T21" s="5">
        <v>5.166666</v>
      </c>
      <c r="U21" s="8" t="s">
        <v>46</v>
      </c>
      <c r="V21" s="6">
        <v>1042.999</v>
      </c>
      <c r="W21" s="6">
        <v>34.766633333333</v>
      </c>
      <c r="X21" s="6">
        <v>2504.674</v>
      </c>
      <c r="Y21" s="6">
        <v>83.489133333333</v>
      </c>
      <c r="Z21" s="6">
        <v>1461.675</v>
      </c>
      <c r="AA21" s="6">
        <v>48.7225</v>
      </c>
      <c r="AB21" s="9">
        <v>0.58357894081226</v>
      </c>
      <c r="AC21" s="5">
        <v>30.0</v>
      </c>
      <c r="AD21" s="4">
        <v>0</v>
      </c>
      <c r="AE21" s="4">
        <v>0</v>
      </c>
      <c r="AF21" s="4">
        <v>0</v>
      </c>
      <c r="AG21" s="3">
        <v>0</v>
      </c>
      <c r="AH21" s="4">
        <v>0</v>
      </c>
      <c r="AI21" s="4">
        <v>0</v>
      </c>
      <c r="AJ21" s="6">
        <v>57.95</v>
      </c>
      <c r="AK21" s="6">
        <v>57.95</v>
      </c>
      <c r="AL21" s="6">
        <v>93.458</v>
      </c>
      <c r="AM21" s="6">
        <v>93.458</v>
      </c>
      <c r="AN21" s="6">
        <v>35.508</v>
      </c>
      <c r="AO21" s="6">
        <v>35.508</v>
      </c>
      <c r="AP21" s="9">
        <v>0.37993537203878</v>
      </c>
      <c r="AQ21" s="5">
        <v>1.0</v>
      </c>
      <c r="AR21" s="4">
        <v>0</v>
      </c>
      <c r="AS21" s="4">
        <v>0</v>
      </c>
      <c r="AT21" s="4">
        <v>0</v>
      </c>
      <c r="AU21" s="3">
        <v>0</v>
      </c>
      <c r="AV21" s="4">
        <v>0</v>
      </c>
      <c r="AW21" s="4">
        <v>0</v>
      </c>
    </row>
    <row r="22" spans="1:49">
      <c r="A22" s="3">
        <v>20</v>
      </c>
      <c r="B22" s="3" t="s">
        <v>85</v>
      </c>
      <c r="C22" t="s">
        <v>86</v>
      </c>
      <c r="D22" s="3" t="s">
        <v>57</v>
      </c>
      <c r="E22" s="5">
        <v>3.0</v>
      </c>
      <c r="F22" s="6">
        <v>2454.3</v>
      </c>
      <c r="G22" s="5">
        <v>2.0</v>
      </c>
      <c r="H22" s="6">
        <v>1636.2</v>
      </c>
      <c r="I22" s="4">
        <v>0</v>
      </c>
      <c r="J22" s="4">
        <v>0</v>
      </c>
      <c r="K22" s="5">
        <v>2.545452</v>
      </c>
      <c r="L22" s="6">
        <v>2082.434281</v>
      </c>
      <c r="M22" s="7">
        <v>0.21428492857064</v>
      </c>
      <c r="N22" s="5">
        <v>2.0</v>
      </c>
      <c r="O22" s="5">
        <v>0.181818</v>
      </c>
      <c r="P22" s="4">
        <v>0</v>
      </c>
      <c r="Q22" s="4">
        <v>0</v>
      </c>
      <c r="R22" s="4">
        <v>0</v>
      </c>
      <c r="S22" s="4">
        <v>0</v>
      </c>
      <c r="T22" s="5">
        <v>0.333333</v>
      </c>
      <c r="U22" s="8" t="s">
        <v>46</v>
      </c>
      <c r="V22" s="6">
        <v>1529.16</v>
      </c>
      <c r="W22" s="6">
        <v>764.58</v>
      </c>
      <c r="X22" s="6">
        <v>2242.99</v>
      </c>
      <c r="Y22" s="6">
        <v>1121.495</v>
      </c>
      <c r="Z22" s="6">
        <v>713.83</v>
      </c>
      <c r="AA22" s="6">
        <v>356.915</v>
      </c>
      <c r="AB22" s="9">
        <v>0.31824930115605</v>
      </c>
      <c r="AC22" s="5">
        <v>2.0</v>
      </c>
      <c r="AD22" s="4">
        <v>0</v>
      </c>
      <c r="AE22" s="4">
        <v>0</v>
      </c>
      <c r="AF22" s="4">
        <v>0</v>
      </c>
      <c r="AG22" s="3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3">
        <v>0</v>
      </c>
      <c r="AQ22" s="4">
        <v>0</v>
      </c>
      <c r="AR22" s="4">
        <v>0</v>
      </c>
      <c r="AS22" s="4">
        <v>0</v>
      </c>
      <c r="AT22" s="4">
        <v>0</v>
      </c>
      <c r="AU22" s="3">
        <v>0</v>
      </c>
      <c r="AV22" s="4">
        <v>0</v>
      </c>
      <c r="AW22" s="4">
        <v>0</v>
      </c>
    </row>
    <row r="23" spans="1:49">
      <c r="A23" s="3">
        <v>21</v>
      </c>
      <c r="B23" s="3" t="s">
        <v>87</v>
      </c>
      <c r="C23" t="s">
        <v>88</v>
      </c>
      <c r="D23" s="3" t="s">
        <v>57</v>
      </c>
      <c r="E23" s="4">
        <v>0</v>
      </c>
      <c r="F23" s="4">
        <v>0</v>
      </c>
      <c r="G23" s="5">
        <v>1.0</v>
      </c>
      <c r="H23" s="6">
        <v>1586.5</v>
      </c>
      <c r="I23" s="4">
        <v>0</v>
      </c>
      <c r="J23" s="4">
        <v>0</v>
      </c>
      <c r="K23" s="5">
        <v>1.272726</v>
      </c>
      <c r="L23" s="6">
        <v>2019.179799</v>
      </c>
      <c r="M23" s="7">
        <v>0.21428492857064</v>
      </c>
      <c r="N23" s="5">
        <v>1.0</v>
      </c>
      <c r="O23" s="5">
        <v>0.090909</v>
      </c>
      <c r="P23" s="4">
        <v>0</v>
      </c>
      <c r="Q23" s="4">
        <v>0</v>
      </c>
      <c r="R23" s="4">
        <v>0</v>
      </c>
      <c r="S23" s="4">
        <v>0</v>
      </c>
      <c r="T23" s="5">
        <v>0.166666</v>
      </c>
      <c r="U23" s="8" t="s">
        <v>46</v>
      </c>
      <c r="V23" s="6">
        <v>1482.71</v>
      </c>
      <c r="W23" s="6">
        <v>1482.71</v>
      </c>
      <c r="X23" s="6">
        <v>2140.187</v>
      </c>
      <c r="Y23" s="6">
        <v>2140.187</v>
      </c>
      <c r="Z23" s="6">
        <v>657.477</v>
      </c>
      <c r="AA23" s="6">
        <v>657.477</v>
      </c>
      <c r="AB23" s="9">
        <v>0.30720539840677</v>
      </c>
      <c r="AC23" s="5">
        <v>1.0</v>
      </c>
      <c r="AD23" s="4">
        <v>0</v>
      </c>
      <c r="AE23" s="4">
        <v>0</v>
      </c>
      <c r="AF23" s="4">
        <v>0</v>
      </c>
      <c r="AG23" s="3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3">
        <v>0</v>
      </c>
      <c r="AQ23" s="4">
        <v>0</v>
      </c>
      <c r="AR23" s="4">
        <v>0</v>
      </c>
      <c r="AS23" s="4">
        <v>0</v>
      </c>
      <c r="AT23" s="4">
        <v>0</v>
      </c>
      <c r="AU23" s="3">
        <v>0</v>
      </c>
      <c r="AV23" s="4">
        <v>0</v>
      </c>
      <c r="AW23" s="4">
        <v>0</v>
      </c>
    </row>
    <row r="24" spans="1:49">
      <c r="A24" s="3">
        <v>22</v>
      </c>
      <c r="B24" s="3" t="s">
        <v>89</v>
      </c>
      <c r="C24" t="s">
        <v>90</v>
      </c>
      <c r="D24" s="3" t="s">
        <v>45</v>
      </c>
      <c r="E24" s="4">
        <v>0</v>
      </c>
      <c r="F24" s="4">
        <v>0</v>
      </c>
      <c r="G24" s="5">
        <v>10.0</v>
      </c>
      <c r="H24" s="6">
        <v>1215.02</v>
      </c>
      <c r="I24" s="4">
        <v>0</v>
      </c>
      <c r="J24" s="4">
        <v>0</v>
      </c>
      <c r="K24" s="5">
        <v>6.36363</v>
      </c>
      <c r="L24" s="6">
        <v>773.193772</v>
      </c>
      <c r="M24" s="11">
        <v>-0.57143014285871</v>
      </c>
      <c r="N24" s="5">
        <v>5.0</v>
      </c>
      <c r="O24" s="5">
        <v>0.454545</v>
      </c>
      <c r="P24" s="4">
        <v>0</v>
      </c>
      <c r="Q24" s="4">
        <v>0</v>
      </c>
      <c r="R24" s="4">
        <v>0</v>
      </c>
      <c r="S24" s="4">
        <v>0</v>
      </c>
      <c r="T24" s="5">
        <v>0.833333</v>
      </c>
      <c r="U24" s="8" t="s">
        <v>46</v>
      </c>
      <c r="V24" s="6">
        <v>567.76</v>
      </c>
      <c r="W24" s="6">
        <v>113.552</v>
      </c>
      <c r="X24" s="6">
        <v>630.84</v>
      </c>
      <c r="Y24" s="6">
        <v>126.168</v>
      </c>
      <c r="Z24" s="6">
        <v>63.08</v>
      </c>
      <c r="AA24" s="6">
        <v>12.616</v>
      </c>
      <c r="AB24" s="10">
        <v>0.099993659247987</v>
      </c>
      <c r="AC24" s="5">
        <v>5.0</v>
      </c>
      <c r="AD24" s="4">
        <v>0</v>
      </c>
      <c r="AE24" s="4">
        <v>0</v>
      </c>
      <c r="AF24" s="4">
        <v>0</v>
      </c>
      <c r="AG24" s="3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3">
        <v>0</v>
      </c>
      <c r="AQ24" s="4">
        <v>0</v>
      </c>
      <c r="AR24" s="4">
        <v>0</v>
      </c>
      <c r="AS24" s="4">
        <v>0</v>
      </c>
      <c r="AT24" s="4">
        <v>0</v>
      </c>
      <c r="AU24" s="3">
        <v>0</v>
      </c>
      <c r="AV24" s="4">
        <v>0</v>
      </c>
      <c r="AW24" s="4">
        <v>0</v>
      </c>
    </row>
    <row r="25" spans="1:49">
      <c r="A25" s="3">
        <v>23</v>
      </c>
      <c r="B25" s="3" t="s">
        <v>91</v>
      </c>
      <c r="C25" t="s">
        <v>92</v>
      </c>
      <c r="D25" s="3" t="s">
        <v>60</v>
      </c>
      <c r="E25" s="5">
        <v>5.0</v>
      </c>
      <c r="F25" s="6">
        <v>585.0</v>
      </c>
      <c r="G25" s="5">
        <v>10.0</v>
      </c>
      <c r="H25" s="6">
        <v>1170.0</v>
      </c>
      <c r="I25" s="4">
        <v>0</v>
      </c>
      <c r="J25" s="4">
        <v>0</v>
      </c>
      <c r="K25" s="5">
        <v>25.454534</v>
      </c>
      <c r="L25" s="6">
        <v>2222.180818</v>
      </c>
      <c r="M25" s="7">
        <v>0.60714268035706</v>
      </c>
      <c r="N25" s="5">
        <v>20.0</v>
      </c>
      <c r="O25" s="5">
        <v>1.818181</v>
      </c>
      <c r="P25" s="4">
        <v>0</v>
      </c>
      <c r="Q25" s="4">
        <v>0</v>
      </c>
      <c r="R25" s="4">
        <v>0</v>
      </c>
      <c r="S25" s="4">
        <v>0</v>
      </c>
      <c r="T25" s="5">
        <v>3.333333</v>
      </c>
      <c r="U25" s="8" t="s">
        <v>46</v>
      </c>
      <c r="V25" s="6">
        <v>1909.35</v>
      </c>
      <c r="W25" s="6">
        <v>95.4675</v>
      </c>
      <c r="X25" s="6">
        <v>5607.48</v>
      </c>
      <c r="Y25" s="6">
        <v>280.374</v>
      </c>
      <c r="Z25" s="6">
        <v>3698.13</v>
      </c>
      <c r="AA25" s="6">
        <v>184.9065</v>
      </c>
      <c r="AB25" s="9">
        <v>0.65949945430033</v>
      </c>
      <c r="AC25" s="5">
        <v>20.0</v>
      </c>
      <c r="AD25" s="4">
        <v>0</v>
      </c>
      <c r="AE25" s="4">
        <v>0</v>
      </c>
      <c r="AF25" s="4">
        <v>0</v>
      </c>
      <c r="AG25" s="3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3">
        <v>0</v>
      </c>
      <c r="AQ25" s="4">
        <v>0</v>
      </c>
      <c r="AR25" s="4">
        <v>0</v>
      </c>
      <c r="AS25" s="4">
        <v>0</v>
      </c>
      <c r="AT25" s="4">
        <v>0</v>
      </c>
      <c r="AU25" s="3">
        <v>0</v>
      </c>
      <c r="AV25" s="4">
        <v>0</v>
      </c>
      <c r="AW25" s="4">
        <v>0</v>
      </c>
    </row>
    <row r="26" spans="1:49">
      <c r="A26" s="3">
        <v>24</v>
      </c>
      <c r="B26" s="3" t="s">
        <v>93</v>
      </c>
      <c r="C26" t="s">
        <v>94</v>
      </c>
      <c r="D26" s="3" t="s">
        <v>57</v>
      </c>
      <c r="E26" s="4">
        <v>0</v>
      </c>
      <c r="F26" s="4">
        <v>0</v>
      </c>
      <c r="G26" s="5">
        <v>1.0</v>
      </c>
      <c r="H26" s="6">
        <v>1156.5</v>
      </c>
      <c r="I26" s="4">
        <v>0</v>
      </c>
      <c r="J26" s="4">
        <v>0</v>
      </c>
      <c r="K26" s="5">
        <v>1.272726</v>
      </c>
      <c r="L26" s="6">
        <v>1471.907619</v>
      </c>
      <c r="M26" s="7">
        <v>0.21428492857064</v>
      </c>
      <c r="N26" s="5">
        <v>1.0</v>
      </c>
      <c r="O26" s="5">
        <v>0.090909</v>
      </c>
      <c r="P26" s="4">
        <v>0</v>
      </c>
      <c r="Q26" s="4">
        <v>0</v>
      </c>
      <c r="R26" s="4">
        <v>0</v>
      </c>
      <c r="S26" s="4">
        <v>0</v>
      </c>
      <c r="T26" s="5">
        <v>0.166666</v>
      </c>
      <c r="U26" s="8" t="s">
        <v>46</v>
      </c>
      <c r="V26" s="6">
        <v>1080.84</v>
      </c>
      <c r="W26" s="6">
        <v>1080.84</v>
      </c>
      <c r="X26" s="6">
        <v>1485.981</v>
      </c>
      <c r="Y26" s="6">
        <v>1485.981</v>
      </c>
      <c r="Z26" s="6">
        <v>405.141</v>
      </c>
      <c r="AA26" s="6">
        <v>405.141</v>
      </c>
      <c r="AB26" s="9">
        <v>0.27264211318987</v>
      </c>
      <c r="AC26" s="5">
        <v>1.0</v>
      </c>
      <c r="AD26" s="4">
        <v>0</v>
      </c>
      <c r="AE26" s="4">
        <v>0</v>
      </c>
      <c r="AF26" s="4">
        <v>0</v>
      </c>
      <c r="AG26" s="3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3">
        <v>0</v>
      </c>
      <c r="AQ26" s="4">
        <v>0</v>
      </c>
      <c r="AR26" s="4">
        <v>0</v>
      </c>
      <c r="AS26" s="4">
        <v>0</v>
      </c>
      <c r="AT26" s="4">
        <v>0</v>
      </c>
      <c r="AU26" s="3">
        <v>0</v>
      </c>
      <c r="AV26" s="4">
        <v>0</v>
      </c>
      <c r="AW26" s="4">
        <v>0</v>
      </c>
    </row>
    <row r="27" spans="1:49">
      <c r="A27" s="3">
        <v>25</v>
      </c>
      <c r="B27" s="3" t="s">
        <v>95</v>
      </c>
      <c r="C27" t="s">
        <v>96</v>
      </c>
      <c r="D27" s="3" t="s">
        <v>97</v>
      </c>
      <c r="E27" s="4">
        <v>0</v>
      </c>
      <c r="F27" s="4">
        <v>0</v>
      </c>
      <c r="G27" s="5">
        <v>3.0</v>
      </c>
      <c r="H27" s="6">
        <v>1143.45</v>
      </c>
      <c r="I27" s="4">
        <v>0</v>
      </c>
      <c r="J27" s="4">
        <v>0</v>
      </c>
      <c r="K27" s="5">
        <v>3.818178</v>
      </c>
      <c r="L27" s="6">
        <v>1455.298545</v>
      </c>
      <c r="M27" s="7">
        <v>0.21428492857064</v>
      </c>
      <c r="N27" s="5">
        <v>3.0</v>
      </c>
      <c r="O27" s="5">
        <v>0.272727</v>
      </c>
      <c r="P27" s="4">
        <v>0</v>
      </c>
      <c r="Q27" s="4">
        <v>0</v>
      </c>
      <c r="R27" s="4">
        <v>0</v>
      </c>
      <c r="S27" s="4">
        <v>0</v>
      </c>
      <c r="T27" s="5">
        <v>0.5</v>
      </c>
      <c r="U27" s="8" t="s">
        <v>46</v>
      </c>
      <c r="V27" s="6">
        <v>1068.651</v>
      </c>
      <c r="W27" s="6">
        <v>356.217</v>
      </c>
      <c r="X27" s="4">
        <v>0</v>
      </c>
      <c r="Y27" s="6">
        <v>0.0</v>
      </c>
      <c r="Z27" s="6">
        <v>-1068.651</v>
      </c>
      <c r="AA27" s="6">
        <v>-356.217</v>
      </c>
      <c r="AB27" s="12">
        <v>0</v>
      </c>
      <c r="AC27" s="5">
        <v>3.0</v>
      </c>
      <c r="AD27" s="4">
        <v>0</v>
      </c>
      <c r="AE27" s="4">
        <v>0</v>
      </c>
      <c r="AF27" s="4">
        <v>0</v>
      </c>
      <c r="AG27" s="3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3">
        <v>0</v>
      </c>
      <c r="AQ27" s="4">
        <v>0</v>
      </c>
      <c r="AR27" s="4">
        <v>0</v>
      </c>
      <c r="AS27" s="4">
        <v>0</v>
      </c>
      <c r="AT27" s="4">
        <v>0</v>
      </c>
      <c r="AU27" s="3">
        <v>0</v>
      </c>
      <c r="AV27" s="4">
        <v>0</v>
      </c>
      <c r="AW27" s="4">
        <v>0</v>
      </c>
    </row>
    <row r="28" spans="1:49">
      <c r="A28" s="3">
        <v>26</v>
      </c>
      <c r="B28" s="3" t="s">
        <v>98</v>
      </c>
      <c r="C28" t="s">
        <v>99</v>
      </c>
      <c r="D28" s="3" t="s">
        <v>97</v>
      </c>
      <c r="E28" s="5">
        <v>2.0</v>
      </c>
      <c r="F28" s="6">
        <v>531.0</v>
      </c>
      <c r="G28" s="5">
        <v>4.0</v>
      </c>
      <c r="H28" s="6">
        <v>1062.0</v>
      </c>
      <c r="I28" s="4">
        <v>0</v>
      </c>
      <c r="J28" s="4">
        <v>0</v>
      </c>
      <c r="K28" s="5">
        <v>5.090904</v>
      </c>
      <c r="L28" s="6">
        <v>1351.635012</v>
      </c>
      <c r="M28" s="7">
        <v>0.21428492857064</v>
      </c>
      <c r="N28" s="5">
        <v>4.0</v>
      </c>
      <c r="O28" s="5">
        <v>0.363636</v>
      </c>
      <c r="P28" s="4">
        <v>0</v>
      </c>
      <c r="Q28" s="4">
        <v>0</v>
      </c>
      <c r="R28" s="4">
        <v>0</v>
      </c>
      <c r="S28" s="4">
        <v>0</v>
      </c>
      <c r="T28" s="5">
        <v>0.666666</v>
      </c>
      <c r="U28" s="8" t="s">
        <v>46</v>
      </c>
      <c r="V28" s="6">
        <v>992.53</v>
      </c>
      <c r="W28" s="6">
        <v>248.1325</v>
      </c>
      <c r="X28" s="6">
        <v>560.748</v>
      </c>
      <c r="Y28" s="6">
        <v>140.187</v>
      </c>
      <c r="Z28" s="6">
        <v>-431.782</v>
      </c>
      <c r="AA28" s="6">
        <v>-107.9455</v>
      </c>
      <c r="AB28" s="13">
        <v>-0.77001077132687</v>
      </c>
      <c r="AC28" s="5">
        <v>4.0</v>
      </c>
      <c r="AD28" s="4">
        <v>0</v>
      </c>
      <c r="AE28" s="4">
        <v>0</v>
      </c>
      <c r="AF28" s="4">
        <v>0</v>
      </c>
      <c r="AG28" s="3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3">
        <v>0</v>
      </c>
      <c r="AQ28" s="4">
        <v>0</v>
      </c>
      <c r="AR28" s="4">
        <v>0</v>
      </c>
      <c r="AS28" s="4">
        <v>0</v>
      </c>
      <c r="AT28" s="4">
        <v>0</v>
      </c>
      <c r="AU28" s="3">
        <v>0</v>
      </c>
      <c r="AV28" s="4">
        <v>0</v>
      </c>
      <c r="AW28" s="4">
        <v>0</v>
      </c>
    </row>
    <row r="29" spans="1:49">
      <c r="A29" s="3">
        <v>27</v>
      </c>
      <c r="B29" s="3" t="s">
        <v>100</v>
      </c>
      <c r="C29" t="s">
        <v>101</v>
      </c>
      <c r="D29" s="3" t="s">
        <v>45</v>
      </c>
      <c r="E29" s="4">
        <v>0</v>
      </c>
      <c r="F29" s="4">
        <v>0</v>
      </c>
      <c r="G29" s="5">
        <v>3.0</v>
      </c>
      <c r="H29" s="6">
        <v>945.0</v>
      </c>
      <c r="I29" s="4">
        <v>0</v>
      </c>
      <c r="J29" s="4">
        <v>0</v>
      </c>
      <c r="K29" s="5">
        <v>3.818178</v>
      </c>
      <c r="L29" s="6">
        <v>1202.72607</v>
      </c>
      <c r="M29" s="7">
        <v>0.21428492857064</v>
      </c>
      <c r="N29" s="5">
        <v>3.0</v>
      </c>
      <c r="O29" s="5">
        <v>0.272727</v>
      </c>
      <c r="P29" s="4">
        <v>0</v>
      </c>
      <c r="Q29" s="4">
        <v>0</v>
      </c>
      <c r="R29" s="4">
        <v>0</v>
      </c>
      <c r="S29" s="4">
        <v>0</v>
      </c>
      <c r="T29" s="5">
        <v>0.5</v>
      </c>
      <c r="U29" s="8" t="s">
        <v>46</v>
      </c>
      <c r="V29" s="6">
        <v>883.18</v>
      </c>
      <c r="W29" s="6">
        <v>294.39333333333</v>
      </c>
      <c r="X29" s="6">
        <v>822.43</v>
      </c>
      <c r="Y29" s="6">
        <v>274.14333333333</v>
      </c>
      <c r="Z29" s="6">
        <v>-60.75</v>
      </c>
      <c r="AA29" s="6">
        <v>-20.25</v>
      </c>
      <c r="AB29" s="13">
        <v>-0.07386646887881</v>
      </c>
      <c r="AC29" s="5">
        <v>3.0</v>
      </c>
      <c r="AD29" s="4">
        <v>0</v>
      </c>
      <c r="AE29" s="4">
        <v>0</v>
      </c>
      <c r="AF29" s="4">
        <v>0</v>
      </c>
      <c r="AG29" s="3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3">
        <v>0</v>
      </c>
      <c r="AQ29" s="4">
        <v>0</v>
      </c>
      <c r="AR29" s="4">
        <v>0</v>
      </c>
      <c r="AS29" s="4">
        <v>0</v>
      </c>
      <c r="AT29" s="4">
        <v>0</v>
      </c>
      <c r="AU29" s="3">
        <v>0</v>
      </c>
      <c r="AV29" s="4">
        <v>0</v>
      </c>
      <c r="AW29" s="4">
        <v>0</v>
      </c>
    </row>
    <row r="30" spans="1:49">
      <c r="A30" s="3">
        <v>28</v>
      </c>
      <c r="B30" s="3" t="s">
        <v>102</v>
      </c>
      <c r="C30" t="s">
        <v>103</v>
      </c>
      <c r="D30" s="3" t="s">
        <v>104</v>
      </c>
      <c r="E30" s="5">
        <v>1.0</v>
      </c>
      <c r="F30" s="6">
        <v>859.5</v>
      </c>
      <c r="G30" s="5">
        <v>1.0</v>
      </c>
      <c r="H30" s="6">
        <v>859.5</v>
      </c>
      <c r="I30" s="4">
        <v>0</v>
      </c>
      <c r="J30" s="4">
        <v>0</v>
      </c>
      <c r="K30" s="4">
        <v>0</v>
      </c>
      <c r="L30" s="4">
        <v>0</v>
      </c>
      <c r="M30" s="1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8" t="s">
        <v>46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>
        <v>0</v>
      </c>
      <c r="AC30" s="4">
        <v>0</v>
      </c>
      <c r="AD30" s="4">
        <v>0</v>
      </c>
      <c r="AE30" s="4">
        <v>0</v>
      </c>
      <c r="AF30" s="4">
        <v>0</v>
      </c>
      <c r="AG30" s="3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3">
        <v>0</v>
      </c>
      <c r="AQ30" s="4">
        <v>0</v>
      </c>
      <c r="AR30" s="4">
        <v>0</v>
      </c>
      <c r="AS30" s="4">
        <v>0</v>
      </c>
      <c r="AT30" s="4">
        <v>0</v>
      </c>
      <c r="AU30" s="3">
        <v>0</v>
      </c>
      <c r="AV30" s="4">
        <v>0</v>
      </c>
      <c r="AW30" s="4">
        <v>0</v>
      </c>
    </row>
    <row r="31" spans="1:49">
      <c r="A31" s="3">
        <v>29</v>
      </c>
      <c r="B31" s="3" t="s">
        <v>105</v>
      </c>
      <c r="C31" t="s">
        <v>106</v>
      </c>
      <c r="D31" s="3" t="s">
        <v>57</v>
      </c>
      <c r="E31" s="5">
        <v>1.0</v>
      </c>
      <c r="F31" s="6">
        <v>729.001</v>
      </c>
      <c r="G31" s="5">
        <v>1.0</v>
      </c>
      <c r="H31" s="6">
        <v>729.001</v>
      </c>
      <c r="I31" s="4">
        <v>0</v>
      </c>
      <c r="J31" s="4">
        <v>0</v>
      </c>
      <c r="K31" s="5">
        <v>2.545452</v>
      </c>
      <c r="L31" s="6">
        <v>2061.81612</v>
      </c>
      <c r="M31" s="7">
        <v>0.60714246428532</v>
      </c>
      <c r="N31" s="5">
        <v>2.0</v>
      </c>
      <c r="O31" s="5">
        <v>0.181818</v>
      </c>
      <c r="P31" s="4">
        <v>0</v>
      </c>
      <c r="Q31" s="4">
        <v>0</v>
      </c>
      <c r="R31" s="4">
        <v>0</v>
      </c>
      <c r="S31" s="4">
        <v>0</v>
      </c>
      <c r="T31" s="5">
        <v>0.333333</v>
      </c>
      <c r="U31" s="8" t="s">
        <v>46</v>
      </c>
      <c r="V31" s="6">
        <v>1438.31</v>
      </c>
      <c r="W31" s="6">
        <v>719.155</v>
      </c>
      <c r="X31" s="6">
        <v>2242.99</v>
      </c>
      <c r="Y31" s="6">
        <v>1121.495</v>
      </c>
      <c r="Z31" s="6">
        <v>804.68</v>
      </c>
      <c r="AA31" s="6">
        <v>402.34</v>
      </c>
      <c r="AB31" s="9">
        <v>0.35875327130304</v>
      </c>
      <c r="AC31" s="5">
        <v>2.0</v>
      </c>
      <c r="AD31" s="4">
        <v>0</v>
      </c>
      <c r="AE31" s="4">
        <v>0</v>
      </c>
      <c r="AF31" s="4">
        <v>0</v>
      </c>
      <c r="AG31" s="3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3">
        <v>0</v>
      </c>
      <c r="AQ31" s="4">
        <v>0</v>
      </c>
      <c r="AR31" s="4">
        <v>0</v>
      </c>
      <c r="AS31" s="4">
        <v>0</v>
      </c>
      <c r="AT31" s="4">
        <v>0</v>
      </c>
      <c r="AU31" s="3">
        <v>0</v>
      </c>
      <c r="AV31" s="4">
        <v>0</v>
      </c>
      <c r="AW31" s="4">
        <v>0</v>
      </c>
    </row>
    <row r="32" spans="1:49">
      <c r="A32" s="3">
        <v>30</v>
      </c>
      <c r="B32" s="3" t="s">
        <v>107</v>
      </c>
      <c r="C32" t="s">
        <v>108</v>
      </c>
      <c r="D32" s="3" t="s">
        <v>45</v>
      </c>
      <c r="E32" s="4">
        <v>0</v>
      </c>
      <c r="F32" s="4">
        <v>0</v>
      </c>
      <c r="G32" s="5">
        <v>11.0</v>
      </c>
      <c r="H32" s="6">
        <v>650.0</v>
      </c>
      <c r="I32" s="4">
        <v>0</v>
      </c>
      <c r="J32" s="4">
        <v>0</v>
      </c>
      <c r="K32" s="5">
        <v>14.0</v>
      </c>
      <c r="L32" s="6">
        <v>910.0</v>
      </c>
      <c r="M32" s="7">
        <v>0.21428571428571</v>
      </c>
      <c r="N32" s="5">
        <v>11.0</v>
      </c>
      <c r="O32" s="5">
        <v>1.0</v>
      </c>
      <c r="P32" s="4">
        <v>0</v>
      </c>
      <c r="Q32" s="4">
        <v>0</v>
      </c>
      <c r="R32" s="4">
        <v>0</v>
      </c>
      <c r="S32" s="4">
        <v>0</v>
      </c>
      <c r="T32" s="5">
        <v>1.833333</v>
      </c>
      <c r="U32" s="8" t="s">
        <v>46</v>
      </c>
      <c r="V32" s="6">
        <v>607.48</v>
      </c>
      <c r="W32" s="6">
        <v>55.225454545455</v>
      </c>
      <c r="X32" s="6">
        <v>841.12</v>
      </c>
      <c r="Y32" s="6">
        <v>76.465454545455</v>
      </c>
      <c r="Z32" s="6">
        <v>233.64</v>
      </c>
      <c r="AA32" s="6">
        <v>21.24</v>
      </c>
      <c r="AB32" s="9">
        <v>0.27777249381777</v>
      </c>
      <c r="AC32" s="5">
        <v>11.0</v>
      </c>
      <c r="AD32" s="4">
        <v>0</v>
      </c>
      <c r="AE32" s="4">
        <v>0</v>
      </c>
      <c r="AF32" s="4">
        <v>0</v>
      </c>
      <c r="AG32" s="3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3">
        <v>0</v>
      </c>
      <c r="AQ32" s="4">
        <v>0</v>
      </c>
      <c r="AR32" s="4">
        <v>0</v>
      </c>
      <c r="AS32" s="4">
        <v>0</v>
      </c>
      <c r="AT32" s="4">
        <v>0</v>
      </c>
      <c r="AU32" s="3">
        <v>0</v>
      </c>
      <c r="AV32" s="4">
        <v>0</v>
      </c>
      <c r="AW32" s="4">
        <v>0</v>
      </c>
    </row>
    <row r="33" spans="1:49">
      <c r="A33" s="3">
        <v>31</v>
      </c>
      <c r="B33" s="3" t="s">
        <v>109</v>
      </c>
      <c r="C33" t="s">
        <v>110</v>
      </c>
      <c r="D33" s="3" t="s">
        <v>45</v>
      </c>
      <c r="E33" s="4">
        <v>0</v>
      </c>
      <c r="F33" s="4">
        <v>0</v>
      </c>
      <c r="G33" s="5">
        <v>2.0</v>
      </c>
      <c r="H33" s="6">
        <v>600.0</v>
      </c>
      <c r="I33" s="4">
        <v>0</v>
      </c>
      <c r="J33" s="4">
        <v>0</v>
      </c>
      <c r="K33" s="5">
        <v>2.545452</v>
      </c>
      <c r="L33" s="6">
        <v>763.6356</v>
      </c>
      <c r="M33" s="7">
        <v>0.21428492857064</v>
      </c>
      <c r="N33" s="5">
        <v>2.0</v>
      </c>
      <c r="O33" s="5">
        <v>0.181818</v>
      </c>
      <c r="P33" s="4">
        <v>0</v>
      </c>
      <c r="Q33" s="4">
        <v>0</v>
      </c>
      <c r="R33" s="4">
        <v>0</v>
      </c>
      <c r="S33" s="4">
        <v>0</v>
      </c>
      <c r="T33" s="5">
        <v>0.333333</v>
      </c>
      <c r="U33" s="8" t="s">
        <v>46</v>
      </c>
      <c r="V33" s="6">
        <v>560.75</v>
      </c>
      <c r="W33" s="6">
        <v>280.375</v>
      </c>
      <c r="X33" s="6">
        <v>785.046</v>
      </c>
      <c r="Y33" s="6">
        <v>392.523</v>
      </c>
      <c r="Z33" s="6">
        <v>224.296</v>
      </c>
      <c r="AA33" s="6">
        <v>112.148</v>
      </c>
      <c r="AB33" s="9">
        <v>0.28571064625512</v>
      </c>
      <c r="AC33" s="5">
        <v>2.0</v>
      </c>
      <c r="AD33" s="4">
        <v>0</v>
      </c>
      <c r="AE33" s="4">
        <v>0</v>
      </c>
      <c r="AF33" s="4">
        <v>0</v>
      </c>
      <c r="AG33" s="3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3">
        <v>0</v>
      </c>
      <c r="AQ33" s="4">
        <v>0</v>
      </c>
      <c r="AR33" s="4">
        <v>0</v>
      </c>
      <c r="AS33" s="4">
        <v>0</v>
      </c>
      <c r="AT33" s="4">
        <v>0</v>
      </c>
      <c r="AU33" s="3">
        <v>0</v>
      </c>
      <c r="AV33" s="4">
        <v>0</v>
      </c>
      <c r="AW33" s="4">
        <v>0</v>
      </c>
    </row>
    <row r="34" spans="1:49">
      <c r="A34" s="3">
        <v>32</v>
      </c>
      <c r="B34" s="3" t="s">
        <v>111</v>
      </c>
      <c r="C34" t="s">
        <v>112</v>
      </c>
      <c r="D34" s="3" t="s">
        <v>57</v>
      </c>
      <c r="E34" s="5">
        <v>3.0</v>
      </c>
      <c r="F34" s="6">
        <v>819.453</v>
      </c>
      <c r="G34" s="5">
        <v>2.0</v>
      </c>
      <c r="H34" s="6">
        <v>546.302</v>
      </c>
      <c r="I34" s="4">
        <v>0</v>
      </c>
      <c r="J34" s="4">
        <v>0</v>
      </c>
      <c r="K34" s="5">
        <v>2.545452</v>
      </c>
      <c r="L34" s="6">
        <v>695.292759</v>
      </c>
      <c r="M34" s="7">
        <v>0.21428492857064</v>
      </c>
      <c r="N34" s="5">
        <v>2.0</v>
      </c>
      <c r="O34" s="5">
        <v>0.181818</v>
      </c>
      <c r="P34" s="4">
        <v>0</v>
      </c>
      <c r="Q34" s="4">
        <v>0</v>
      </c>
      <c r="R34" s="4">
        <v>0</v>
      </c>
      <c r="S34" s="4">
        <v>0</v>
      </c>
      <c r="T34" s="5">
        <v>0.333333</v>
      </c>
      <c r="U34" s="8" t="s">
        <v>46</v>
      </c>
      <c r="V34" s="6">
        <v>510.55</v>
      </c>
      <c r="W34" s="6">
        <v>255.275</v>
      </c>
      <c r="X34" s="6">
        <v>841.122</v>
      </c>
      <c r="Y34" s="6">
        <v>420.561</v>
      </c>
      <c r="Z34" s="6">
        <v>330.572</v>
      </c>
      <c r="AA34" s="6">
        <v>165.286</v>
      </c>
      <c r="AB34" s="9">
        <v>0.39301314196989</v>
      </c>
      <c r="AC34" s="5">
        <v>2.0</v>
      </c>
      <c r="AD34" s="4">
        <v>0</v>
      </c>
      <c r="AE34" s="4">
        <v>0</v>
      </c>
      <c r="AF34" s="4">
        <v>0</v>
      </c>
      <c r="AG34" s="3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3">
        <v>0</v>
      </c>
      <c r="AQ34" s="4">
        <v>0</v>
      </c>
      <c r="AR34" s="4">
        <v>0</v>
      </c>
      <c r="AS34" s="4">
        <v>0</v>
      </c>
      <c r="AT34" s="4">
        <v>0</v>
      </c>
      <c r="AU34" s="3">
        <v>0</v>
      </c>
      <c r="AV34" s="4">
        <v>0</v>
      </c>
      <c r="AW34" s="4">
        <v>0</v>
      </c>
    </row>
    <row r="35" spans="1:49">
      <c r="A35" s="3">
        <v>33</v>
      </c>
      <c r="B35" s="3" t="s">
        <v>113</v>
      </c>
      <c r="C35" t="s">
        <v>114</v>
      </c>
      <c r="D35" s="3" t="s">
        <v>45</v>
      </c>
      <c r="E35" s="4">
        <v>0</v>
      </c>
      <c r="F35" s="4">
        <v>0</v>
      </c>
      <c r="G35" s="5">
        <v>2.0</v>
      </c>
      <c r="H35" s="6">
        <v>531.0</v>
      </c>
      <c r="I35" s="4">
        <v>0</v>
      </c>
      <c r="J35" s="4">
        <v>0</v>
      </c>
      <c r="K35" s="5">
        <v>63.636356</v>
      </c>
      <c r="L35" s="6">
        <v>8511.362615</v>
      </c>
      <c r="M35" s="7">
        <v>0.9685714248</v>
      </c>
      <c r="N35" s="5">
        <v>50.0</v>
      </c>
      <c r="O35" s="5">
        <v>4.545454</v>
      </c>
      <c r="P35" s="4">
        <v>0</v>
      </c>
      <c r="Q35" s="4">
        <v>0</v>
      </c>
      <c r="R35" s="4">
        <v>0</v>
      </c>
      <c r="S35" s="4">
        <v>0</v>
      </c>
      <c r="T35" s="5">
        <v>6.666666</v>
      </c>
      <c r="U35" s="8" t="s">
        <v>46</v>
      </c>
      <c r="V35" s="6">
        <v>6250.0</v>
      </c>
      <c r="W35" s="6">
        <v>125.0</v>
      </c>
      <c r="X35" s="6">
        <v>9500.0</v>
      </c>
      <c r="Y35" s="6">
        <v>190.0</v>
      </c>
      <c r="Z35" s="6">
        <v>3250.0</v>
      </c>
      <c r="AA35" s="6">
        <v>65.0</v>
      </c>
      <c r="AB35" s="9">
        <v>0.34210526315789</v>
      </c>
      <c r="AC35" s="5">
        <v>50.0</v>
      </c>
      <c r="AD35" s="4">
        <v>0</v>
      </c>
      <c r="AE35" s="4">
        <v>0</v>
      </c>
      <c r="AF35" s="4">
        <v>0</v>
      </c>
      <c r="AG35" s="3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3">
        <v>0</v>
      </c>
      <c r="AQ35" s="4">
        <v>0</v>
      </c>
      <c r="AR35" s="4">
        <v>0</v>
      </c>
      <c r="AS35" s="4">
        <v>0</v>
      </c>
      <c r="AT35" s="4">
        <v>0</v>
      </c>
      <c r="AU35" s="3">
        <v>0</v>
      </c>
      <c r="AV35" s="4">
        <v>0</v>
      </c>
      <c r="AW35" s="4">
        <v>0</v>
      </c>
    </row>
    <row r="36" spans="1:49">
      <c r="A36" s="3">
        <v>34</v>
      </c>
      <c r="B36" s="3" t="s">
        <v>115</v>
      </c>
      <c r="C36" t="s">
        <v>116</v>
      </c>
      <c r="D36" s="3" t="s">
        <v>104</v>
      </c>
      <c r="E36" s="4">
        <v>0</v>
      </c>
      <c r="F36" s="4">
        <v>0</v>
      </c>
      <c r="G36" s="5">
        <v>1.0</v>
      </c>
      <c r="H36" s="6">
        <v>514.801</v>
      </c>
      <c r="I36" s="4">
        <v>0</v>
      </c>
      <c r="J36" s="4">
        <v>0</v>
      </c>
      <c r="K36" s="5">
        <v>1.272726</v>
      </c>
      <c r="L36" s="6">
        <v>655.200618</v>
      </c>
      <c r="M36" s="7">
        <v>0.21428492857064</v>
      </c>
      <c r="N36" s="5">
        <v>1.0</v>
      </c>
      <c r="O36" s="5">
        <v>0.090909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8" t="s">
        <v>46</v>
      </c>
      <c r="V36" s="6">
        <v>481.12</v>
      </c>
      <c r="W36" s="6">
        <v>481.12</v>
      </c>
      <c r="X36" s="6">
        <v>700.95</v>
      </c>
      <c r="Y36" s="6">
        <v>700.95</v>
      </c>
      <c r="Z36" s="6">
        <v>219.83</v>
      </c>
      <c r="AA36" s="6">
        <v>219.83</v>
      </c>
      <c r="AB36" s="9">
        <v>0.31361723375419</v>
      </c>
      <c r="AC36" s="5">
        <v>1.0</v>
      </c>
      <c r="AD36" s="4">
        <v>0</v>
      </c>
      <c r="AE36" s="4">
        <v>0</v>
      </c>
      <c r="AF36" s="4">
        <v>0</v>
      </c>
      <c r="AG36" s="3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3">
        <v>0</v>
      </c>
      <c r="AQ36" s="4">
        <v>0</v>
      </c>
      <c r="AR36" s="4">
        <v>0</v>
      </c>
      <c r="AS36" s="4">
        <v>0</v>
      </c>
      <c r="AT36" s="4">
        <v>0</v>
      </c>
      <c r="AU36" s="3">
        <v>0</v>
      </c>
      <c r="AV36" s="4">
        <v>0</v>
      </c>
      <c r="AW36" s="4">
        <v>0</v>
      </c>
    </row>
    <row r="37" spans="1:49">
      <c r="A37" s="3">
        <v>35</v>
      </c>
      <c r="B37" s="3" t="s">
        <v>117</v>
      </c>
      <c r="C37" t="s">
        <v>118</v>
      </c>
      <c r="D37" s="3" t="s">
        <v>60</v>
      </c>
      <c r="E37" s="5">
        <v>20.0</v>
      </c>
      <c r="F37" s="6">
        <v>560.009</v>
      </c>
      <c r="G37" s="5">
        <v>10.0</v>
      </c>
      <c r="H37" s="6">
        <v>504.009</v>
      </c>
      <c r="I37" s="4">
        <v>0</v>
      </c>
      <c r="J37" s="4">
        <v>0</v>
      </c>
      <c r="K37" s="5">
        <v>15.272726</v>
      </c>
      <c r="L37" s="6">
        <v>855.287929</v>
      </c>
      <c r="M37" s="7">
        <v>0.3452380406746</v>
      </c>
      <c r="N37" s="5">
        <v>12.0</v>
      </c>
      <c r="O37" s="5">
        <v>1.090909</v>
      </c>
      <c r="P37" s="5">
        <v>1.0</v>
      </c>
      <c r="Q37" s="5">
        <v>1.0</v>
      </c>
      <c r="R37" s="4">
        <v>0</v>
      </c>
      <c r="S37" s="4">
        <v>0</v>
      </c>
      <c r="T37" s="5">
        <v>2.166666</v>
      </c>
      <c r="U37" s="8" t="s">
        <v>46</v>
      </c>
      <c r="V37" s="6">
        <v>157.02</v>
      </c>
      <c r="W37" s="6">
        <v>13.085</v>
      </c>
      <c r="X37" s="6">
        <v>700.0</v>
      </c>
      <c r="Y37" s="6">
        <v>58.333333333333</v>
      </c>
      <c r="Z37" s="6">
        <v>542.98</v>
      </c>
      <c r="AA37" s="6">
        <v>45.248333333333</v>
      </c>
      <c r="AB37" s="9">
        <v>0.77568571428571</v>
      </c>
      <c r="AC37" s="5">
        <v>12.0</v>
      </c>
      <c r="AD37" s="4">
        <v>0</v>
      </c>
      <c r="AE37" s="4">
        <v>0</v>
      </c>
      <c r="AF37" s="4">
        <v>0</v>
      </c>
      <c r="AG37" s="3">
        <v>0</v>
      </c>
      <c r="AH37" s="4">
        <v>0</v>
      </c>
      <c r="AI37" s="4">
        <v>0</v>
      </c>
      <c r="AJ37" s="6">
        <v>52.34</v>
      </c>
      <c r="AK37" s="6">
        <v>52.34</v>
      </c>
      <c r="AL37" s="4">
        <v>0</v>
      </c>
      <c r="AM37" s="6">
        <v>0.0</v>
      </c>
      <c r="AN37" s="6">
        <v>-52.34</v>
      </c>
      <c r="AO37" s="6">
        <v>-52.34</v>
      </c>
      <c r="AP37" s="12">
        <v>0</v>
      </c>
      <c r="AQ37" s="5">
        <v>1.0</v>
      </c>
      <c r="AR37" s="4">
        <v>0</v>
      </c>
      <c r="AS37" s="4">
        <v>0</v>
      </c>
      <c r="AT37" s="4">
        <v>0</v>
      </c>
      <c r="AU37" s="3">
        <v>0</v>
      </c>
      <c r="AV37" s="4">
        <v>0</v>
      </c>
      <c r="AW37" s="4">
        <v>0</v>
      </c>
    </row>
    <row r="38" spans="1:49">
      <c r="A38" s="3">
        <v>36</v>
      </c>
      <c r="B38" s="3" t="s">
        <v>119</v>
      </c>
      <c r="C38" t="s">
        <v>120</v>
      </c>
      <c r="D38" s="3" t="s">
        <v>104</v>
      </c>
      <c r="E38" s="4">
        <v>0</v>
      </c>
      <c r="F38" s="4">
        <v>0</v>
      </c>
      <c r="G38" s="5">
        <v>10.0</v>
      </c>
      <c r="H38" s="6">
        <v>486.0</v>
      </c>
      <c r="I38" s="4">
        <v>0</v>
      </c>
      <c r="J38" s="4">
        <v>0</v>
      </c>
      <c r="K38" s="5">
        <v>12.72726</v>
      </c>
      <c r="L38" s="6">
        <v>687.27204</v>
      </c>
      <c r="M38" s="7">
        <v>0.21428492857064</v>
      </c>
      <c r="N38" s="5">
        <v>10.0</v>
      </c>
      <c r="O38" s="5">
        <v>0.90909</v>
      </c>
      <c r="P38" s="5">
        <v>1.0</v>
      </c>
      <c r="Q38" s="5">
        <v>1.0</v>
      </c>
      <c r="R38" s="4">
        <v>0</v>
      </c>
      <c r="S38" s="4">
        <v>0</v>
      </c>
      <c r="T38" s="5">
        <v>1.833333</v>
      </c>
      <c r="U38" s="8" t="s">
        <v>46</v>
      </c>
      <c r="V38" s="6">
        <v>454.2</v>
      </c>
      <c r="W38" s="6">
        <v>45.42</v>
      </c>
      <c r="X38" s="6">
        <v>934.58</v>
      </c>
      <c r="Y38" s="6">
        <v>93.458</v>
      </c>
      <c r="Z38" s="6">
        <v>480.38</v>
      </c>
      <c r="AA38" s="6">
        <v>48.038</v>
      </c>
      <c r="AB38" s="9">
        <v>0.51400629159623</v>
      </c>
      <c r="AC38" s="5">
        <v>10.0</v>
      </c>
      <c r="AD38" s="4">
        <v>0</v>
      </c>
      <c r="AE38" s="4">
        <v>0</v>
      </c>
      <c r="AF38" s="4">
        <v>0</v>
      </c>
      <c r="AG38" s="3">
        <v>0</v>
      </c>
      <c r="AH38" s="4">
        <v>0</v>
      </c>
      <c r="AI38" s="4">
        <v>0</v>
      </c>
      <c r="AJ38" s="6">
        <v>50.47</v>
      </c>
      <c r="AK38" s="6">
        <v>50.47</v>
      </c>
      <c r="AL38" s="4">
        <v>0</v>
      </c>
      <c r="AM38" s="6">
        <v>0.0</v>
      </c>
      <c r="AN38" s="6">
        <v>-50.47</v>
      </c>
      <c r="AO38" s="6">
        <v>-50.47</v>
      </c>
      <c r="AP38" s="12">
        <v>0</v>
      </c>
      <c r="AQ38" s="5">
        <v>1.0</v>
      </c>
      <c r="AR38" s="4">
        <v>0</v>
      </c>
      <c r="AS38" s="4">
        <v>0</v>
      </c>
      <c r="AT38" s="4">
        <v>0</v>
      </c>
      <c r="AU38" s="3">
        <v>0</v>
      </c>
      <c r="AV38" s="4">
        <v>0</v>
      </c>
      <c r="AW38" s="4">
        <v>0</v>
      </c>
    </row>
    <row r="39" spans="1:49">
      <c r="A39" s="3">
        <v>37</v>
      </c>
      <c r="B39" s="3" t="s">
        <v>121</v>
      </c>
      <c r="C39" t="s">
        <v>122</v>
      </c>
      <c r="D39" s="3" t="s">
        <v>57</v>
      </c>
      <c r="E39" s="4">
        <v>0</v>
      </c>
      <c r="F39" s="4">
        <v>0</v>
      </c>
      <c r="G39" s="5">
        <v>10.0</v>
      </c>
      <c r="H39" s="6">
        <v>441.009</v>
      </c>
      <c r="I39" s="4">
        <v>0</v>
      </c>
      <c r="J39" s="4">
        <v>0</v>
      </c>
      <c r="K39" s="5">
        <v>19.090904</v>
      </c>
      <c r="L39" s="6">
        <v>935.473387</v>
      </c>
      <c r="M39" s="7">
        <v>0.4761903365079</v>
      </c>
      <c r="N39" s="5">
        <v>15.0</v>
      </c>
      <c r="O39" s="5">
        <v>1.363636</v>
      </c>
      <c r="P39" s="5">
        <v>2.0</v>
      </c>
      <c r="Q39" s="5">
        <v>2.0</v>
      </c>
      <c r="R39" s="4">
        <v>0</v>
      </c>
      <c r="S39" s="4">
        <v>0</v>
      </c>
      <c r="T39" s="5">
        <v>2.833333</v>
      </c>
      <c r="U39" s="8" t="s">
        <v>46</v>
      </c>
      <c r="V39" s="6">
        <v>549.531</v>
      </c>
      <c r="W39" s="6">
        <v>36.6354</v>
      </c>
      <c r="X39" s="6">
        <v>542.056</v>
      </c>
      <c r="Y39" s="6">
        <v>36.137066666667</v>
      </c>
      <c r="Z39" s="6">
        <v>-7.475</v>
      </c>
      <c r="AA39" s="6">
        <v>-0.49833333333333</v>
      </c>
      <c r="AB39" s="13">
        <v>-0.013790088108978</v>
      </c>
      <c r="AC39" s="5">
        <v>15.0</v>
      </c>
      <c r="AD39" s="4">
        <v>0</v>
      </c>
      <c r="AE39" s="4">
        <v>0</v>
      </c>
      <c r="AF39" s="4">
        <v>0</v>
      </c>
      <c r="AG39" s="3">
        <v>0</v>
      </c>
      <c r="AH39" s="4">
        <v>0</v>
      </c>
      <c r="AI39" s="4">
        <v>0</v>
      </c>
      <c r="AJ39" s="6">
        <v>91.59</v>
      </c>
      <c r="AK39" s="6">
        <v>45.795</v>
      </c>
      <c r="AL39" s="4">
        <v>0</v>
      </c>
      <c r="AM39" s="6">
        <v>0.0</v>
      </c>
      <c r="AN39" s="6">
        <v>-91.59</v>
      </c>
      <c r="AO39" s="6">
        <v>-45.795</v>
      </c>
      <c r="AP39" s="12">
        <v>0</v>
      </c>
      <c r="AQ39" s="5">
        <v>2.0</v>
      </c>
      <c r="AR39" s="4">
        <v>0</v>
      </c>
      <c r="AS39" s="4">
        <v>0</v>
      </c>
      <c r="AT39" s="4">
        <v>0</v>
      </c>
      <c r="AU39" s="3">
        <v>0</v>
      </c>
      <c r="AV39" s="4">
        <v>0</v>
      </c>
      <c r="AW39" s="4">
        <v>0</v>
      </c>
    </row>
    <row r="40" spans="1:49">
      <c r="A40" s="3">
        <v>38</v>
      </c>
      <c r="B40" s="3" t="s">
        <v>123</v>
      </c>
      <c r="C40" t="s">
        <v>124</v>
      </c>
      <c r="D40" s="3" t="s">
        <v>104</v>
      </c>
      <c r="E40" s="4">
        <v>0</v>
      </c>
      <c r="F40" s="4">
        <v>0</v>
      </c>
      <c r="G40" s="5">
        <v>10.0</v>
      </c>
      <c r="H40" s="6">
        <v>414.0</v>
      </c>
      <c r="I40" s="4">
        <v>0</v>
      </c>
      <c r="J40" s="4">
        <v>0</v>
      </c>
      <c r="K40" s="5">
        <v>12.72726</v>
      </c>
      <c r="L40" s="6">
        <v>585.45396</v>
      </c>
      <c r="M40" s="7">
        <v>0.21428492857064</v>
      </c>
      <c r="N40" s="5">
        <v>10.0</v>
      </c>
      <c r="O40" s="5">
        <v>0.90909</v>
      </c>
      <c r="P40" s="4">
        <v>0</v>
      </c>
      <c r="Q40" s="4">
        <v>0</v>
      </c>
      <c r="R40" s="5">
        <v>20.0</v>
      </c>
      <c r="S40" s="6">
        <v>920.0</v>
      </c>
      <c r="T40" s="5">
        <v>1.666666</v>
      </c>
      <c r="U40" s="15">
        <v>12.000004800002</v>
      </c>
      <c r="V40" s="6">
        <v>429.9</v>
      </c>
      <c r="W40" s="6">
        <v>42.99</v>
      </c>
      <c r="X40" s="6">
        <v>747.7</v>
      </c>
      <c r="Y40" s="6">
        <v>74.77</v>
      </c>
      <c r="Z40" s="6">
        <v>317.8</v>
      </c>
      <c r="AA40" s="6">
        <v>31.78</v>
      </c>
      <c r="AB40" s="9">
        <v>0.425036779457</v>
      </c>
      <c r="AC40" s="5">
        <v>10.0</v>
      </c>
      <c r="AD40" s="4">
        <v>0</v>
      </c>
      <c r="AE40" s="4">
        <v>0</v>
      </c>
      <c r="AF40" s="4">
        <v>0</v>
      </c>
      <c r="AG40" s="3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3">
        <v>0</v>
      </c>
      <c r="AQ40" s="4">
        <v>0</v>
      </c>
      <c r="AR40" s="4">
        <v>0</v>
      </c>
      <c r="AS40" s="4">
        <v>0</v>
      </c>
      <c r="AT40" s="4">
        <v>0</v>
      </c>
      <c r="AU40" s="3">
        <v>0</v>
      </c>
      <c r="AV40" s="4">
        <v>0</v>
      </c>
      <c r="AW40" s="4">
        <v>0</v>
      </c>
    </row>
    <row r="41" spans="1:49">
      <c r="A41" s="3">
        <v>39</v>
      </c>
      <c r="B41" s="3" t="s">
        <v>125</v>
      </c>
      <c r="C41" t="s">
        <v>126</v>
      </c>
      <c r="D41" s="3" t="s">
        <v>57</v>
      </c>
      <c r="E41" s="4">
        <v>0</v>
      </c>
      <c r="F41" s="4">
        <v>0</v>
      </c>
      <c r="G41" s="5">
        <v>1.0</v>
      </c>
      <c r="H41" s="6">
        <v>382.5</v>
      </c>
      <c r="I41" s="4">
        <v>0</v>
      </c>
      <c r="J41" s="4">
        <v>0</v>
      </c>
      <c r="K41" s="5">
        <v>1.272726</v>
      </c>
      <c r="L41" s="6">
        <v>486.817695</v>
      </c>
      <c r="M41" s="7">
        <v>0.21428492857064</v>
      </c>
      <c r="N41" s="5">
        <v>1.0</v>
      </c>
      <c r="O41" s="5">
        <v>0.090909</v>
      </c>
      <c r="P41" s="4">
        <v>0</v>
      </c>
      <c r="Q41" s="4">
        <v>0</v>
      </c>
      <c r="R41" s="4">
        <v>0</v>
      </c>
      <c r="S41" s="4">
        <v>0</v>
      </c>
      <c r="T41" s="5">
        <v>0.166666</v>
      </c>
      <c r="U41" s="8" t="s">
        <v>46</v>
      </c>
      <c r="V41" s="6">
        <v>357.48</v>
      </c>
      <c r="W41" s="6">
        <v>357.48</v>
      </c>
      <c r="X41" s="6">
        <v>607.477</v>
      </c>
      <c r="Y41" s="6">
        <v>607.477</v>
      </c>
      <c r="Z41" s="6">
        <v>249.997</v>
      </c>
      <c r="AA41" s="6">
        <v>249.997</v>
      </c>
      <c r="AB41" s="9">
        <v>0.41153327615696</v>
      </c>
      <c r="AC41" s="5">
        <v>1.0</v>
      </c>
      <c r="AD41" s="4">
        <v>0</v>
      </c>
      <c r="AE41" s="4">
        <v>0</v>
      </c>
      <c r="AF41" s="4">
        <v>0</v>
      </c>
      <c r="AG41" s="3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3">
        <v>0</v>
      </c>
      <c r="AQ41" s="4">
        <v>0</v>
      </c>
      <c r="AR41" s="4">
        <v>0</v>
      </c>
      <c r="AS41" s="4">
        <v>0</v>
      </c>
      <c r="AT41" s="4">
        <v>0</v>
      </c>
      <c r="AU41" s="3">
        <v>0</v>
      </c>
      <c r="AV41" s="4">
        <v>0</v>
      </c>
      <c r="AW41" s="4">
        <v>0</v>
      </c>
    </row>
    <row r="42" spans="1:49">
      <c r="A42" s="3">
        <v>40</v>
      </c>
      <c r="B42" s="3" t="s">
        <v>127</v>
      </c>
      <c r="C42" t="s">
        <v>128</v>
      </c>
      <c r="D42" s="3" t="s">
        <v>57</v>
      </c>
      <c r="E42" s="4">
        <v>0</v>
      </c>
      <c r="F42" s="4">
        <v>0</v>
      </c>
      <c r="G42" s="5">
        <v>1.0</v>
      </c>
      <c r="H42" s="6">
        <v>279.0</v>
      </c>
      <c r="I42" s="4">
        <v>0</v>
      </c>
      <c r="J42" s="4">
        <v>0</v>
      </c>
      <c r="K42" s="5">
        <v>1.272726</v>
      </c>
      <c r="L42" s="6">
        <v>355.090554</v>
      </c>
      <c r="M42" s="7">
        <v>0.21428492857064</v>
      </c>
      <c r="N42" s="5">
        <v>1.0</v>
      </c>
      <c r="O42" s="5">
        <v>0.090909</v>
      </c>
      <c r="P42" s="4">
        <v>0</v>
      </c>
      <c r="Q42" s="4">
        <v>0</v>
      </c>
      <c r="R42" s="4">
        <v>0</v>
      </c>
      <c r="S42" s="4">
        <v>0</v>
      </c>
      <c r="T42" s="5">
        <v>0.166666</v>
      </c>
      <c r="U42" s="8" t="s">
        <v>46</v>
      </c>
      <c r="V42" s="6">
        <v>260.75</v>
      </c>
      <c r="W42" s="6">
        <v>260.75</v>
      </c>
      <c r="X42" s="6">
        <v>607.477</v>
      </c>
      <c r="Y42" s="6">
        <v>607.477</v>
      </c>
      <c r="Z42" s="6">
        <v>346.727</v>
      </c>
      <c r="AA42" s="6">
        <v>346.727</v>
      </c>
      <c r="AB42" s="9">
        <v>0.570765642156</v>
      </c>
      <c r="AC42" s="5">
        <v>1.0</v>
      </c>
      <c r="AD42" s="4">
        <v>0</v>
      </c>
      <c r="AE42" s="4">
        <v>0</v>
      </c>
      <c r="AF42" s="4">
        <v>0</v>
      </c>
      <c r="AG42" s="3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3">
        <v>0</v>
      </c>
      <c r="AQ42" s="4">
        <v>0</v>
      </c>
      <c r="AR42" s="4">
        <v>0</v>
      </c>
      <c r="AS42" s="4">
        <v>0</v>
      </c>
      <c r="AT42" s="4">
        <v>0</v>
      </c>
      <c r="AU42" s="3">
        <v>0</v>
      </c>
      <c r="AV42" s="4">
        <v>0</v>
      </c>
      <c r="AW42" s="4">
        <v>0</v>
      </c>
    </row>
    <row r="43" spans="1:49">
      <c r="A43" s="3">
        <v>41</v>
      </c>
      <c r="B43" s="3" t="s">
        <v>129</v>
      </c>
      <c r="C43" t="s">
        <v>130</v>
      </c>
      <c r="D43" s="3" t="s">
        <v>45</v>
      </c>
      <c r="E43" s="4">
        <v>0</v>
      </c>
      <c r="F43" s="4">
        <v>0</v>
      </c>
      <c r="G43" s="5">
        <v>1.0</v>
      </c>
      <c r="H43" s="6">
        <v>256.5</v>
      </c>
      <c r="I43" s="4">
        <v>0</v>
      </c>
      <c r="J43" s="4">
        <v>0</v>
      </c>
      <c r="K43" s="5">
        <v>1.272726</v>
      </c>
      <c r="L43" s="6">
        <v>326.454219</v>
      </c>
      <c r="M43" s="7">
        <v>0.21428492857064</v>
      </c>
      <c r="N43" s="5">
        <v>1.0</v>
      </c>
      <c r="O43" s="5">
        <v>0.090909</v>
      </c>
      <c r="P43" s="4">
        <v>0</v>
      </c>
      <c r="Q43" s="4">
        <v>0</v>
      </c>
      <c r="R43" s="4">
        <v>0</v>
      </c>
      <c r="S43" s="4">
        <v>0</v>
      </c>
      <c r="T43" s="5">
        <v>0.166666</v>
      </c>
      <c r="U43" s="8" t="s">
        <v>46</v>
      </c>
      <c r="V43" s="6">
        <v>239.72</v>
      </c>
      <c r="W43" s="6">
        <v>239.72</v>
      </c>
      <c r="X43" s="6">
        <v>551.402</v>
      </c>
      <c r="Y43" s="6">
        <v>551.402</v>
      </c>
      <c r="Z43" s="6">
        <v>311.682</v>
      </c>
      <c r="AA43" s="6">
        <v>311.682</v>
      </c>
      <c r="AB43" s="9">
        <v>0.56525366248218</v>
      </c>
      <c r="AC43" s="5">
        <v>1.0</v>
      </c>
      <c r="AD43" s="4">
        <v>0</v>
      </c>
      <c r="AE43" s="4">
        <v>0</v>
      </c>
      <c r="AF43" s="4">
        <v>0</v>
      </c>
      <c r="AG43" s="3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3">
        <v>0</v>
      </c>
      <c r="AQ43" s="4">
        <v>0</v>
      </c>
      <c r="AR43" s="4">
        <v>0</v>
      </c>
      <c r="AS43" s="4">
        <v>0</v>
      </c>
      <c r="AT43" s="4">
        <v>0</v>
      </c>
      <c r="AU43" s="3">
        <v>0</v>
      </c>
      <c r="AV43" s="4">
        <v>0</v>
      </c>
      <c r="AW43" s="4">
        <v>0</v>
      </c>
    </row>
    <row r="44" spans="1:49">
      <c r="A44" s="3">
        <v>42</v>
      </c>
      <c r="B44" s="3" t="s">
        <v>131</v>
      </c>
      <c r="C44" t="s">
        <v>132</v>
      </c>
      <c r="D44" s="3" t="s">
        <v>45</v>
      </c>
      <c r="E44" s="4">
        <v>0</v>
      </c>
      <c r="F44" s="4">
        <v>0</v>
      </c>
      <c r="G44" s="5">
        <v>10.0</v>
      </c>
      <c r="H44" s="6">
        <v>225.0</v>
      </c>
      <c r="I44" s="4">
        <v>0</v>
      </c>
      <c r="J44" s="4">
        <v>0</v>
      </c>
      <c r="K44" s="5">
        <v>12.72726</v>
      </c>
      <c r="L44" s="6">
        <v>286.36335</v>
      </c>
      <c r="M44" s="7">
        <v>0.21428492857064</v>
      </c>
      <c r="N44" s="5">
        <v>10.0</v>
      </c>
      <c r="O44" s="5">
        <v>0.90909</v>
      </c>
      <c r="P44" s="4">
        <v>0</v>
      </c>
      <c r="Q44" s="4">
        <v>0</v>
      </c>
      <c r="R44" s="4">
        <v>0</v>
      </c>
      <c r="S44" s="4">
        <v>0</v>
      </c>
      <c r="T44" s="5">
        <v>1.666666</v>
      </c>
      <c r="U44" s="8" t="s">
        <v>46</v>
      </c>
      <c r="V44" s="6">
        <v>210.28</v>
      </c>
      <c r="W44" s="6">
        <v>21.028</v>
      </c>
      <c r="X44" s="6">
        <v>1401.87</v>
      </c>
      <c r="Y44" s="6">
        <v>140.187</v>
      </c>
      <c r="Z44" s="6">
        <v>1191.59</v>
      </c>
      <c r="AA44" s="6">
        <v>119.159</v>
      </c>
      <c r="AB44" s="9">
        <v>0.85000035666645</v>
      </c>
      <c r="AC44" s="5">
        <v>10.0</v>
      </c>
      <c r="AD44" s="4">
        <v>0</v>
      </c>
      <c r="AE44" s="4">
        <v>0</v>
      </c>
      <c r="AF44" s="4">
        <v>0</v>
      </c>
      <c r="AG44" s="3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3">
        <v>0</v>
      </c>
      <c r="AQ44" s="4">
        <v>0</v>
      </c>
      <c r="AR44" s="4">
        <v>0</v>
      </c>
      <c r="AS44" s="4">
        <v>0</v>
      </c>
      <c r="AT44" s="4">
        <v>0</v>
      </c>
      <c r="AU44" s="3">
        <v>0</v>
      </c>
      <c r="AV44" s="4">
        <v>0</v>
      </c>
      <c r="AW44" s="4">
        <v>0</v>
      </c>
    </row>
    <row r="45" spans="1:49">
      <c r="A45" s="3">
        <v>43</v>
      </c>
      <c r="B45" s="3" t="s">
        <v>133</v>
      </c>
      <c r="C45" t="s">
        <v>134</v>
      </c>
      <c r="D45" s="3" t="s">
        <v>45</v>
      </c>
      <c r="E45" s="4">
        <v>0</v>
      </c>
      <c r="F45" s="4">
        <v>0</v>
      </c>
      <c r="G45" s="5">
        <v>1.0</v>
      </c>
      <c r="H45" s="6">
        <v>216.0</v>
      </c>
      <c r="I45" s="4">
        <v>0</v>
      </c>
      <c r="J45" s="4">
        <v>0</v>
      </c>
      <c r="K45" s="5">
        <v>1.272726</v>
      </c>
      <c r="L45" s="6">
        <v>274.908816</v>
      </c>
      <c r="M45" s="7">
        <v>0.21428492857064</v>
      </c>
      <c r="N45" s="5">
        <v>1.0</v>
      </c>
      <c r="O45" s="5">
        <v>0.090909</v>
      </c>
      <c r="P45" s="4">
        <v>0</v>
      </c>
      <c r="Q45" s="4">
        <v>0</v>
      </c>
      <c r="R45" s="4">
        <v>0</v>
      </c>
      <c r="S45" s="4">
        <v>0</v>
      </c>
      <c r="T45" s="5">
        <v>0.166666</v>
      </c>
      <c r="U45" s="8" t="s">
        <v>46</v>
      </c>
      <c r="V45" s="6">
        <v>201.87</v>
      </c>
      <c r="W45" s="6">
        <v>201.87</v>
      </c>
      <c r="X45" s="6">
        <v>420.561</v>
      </c>
      <c r="Y45" s="6">
        <v>420.561</v>
      </c>
      <c r="Z45" s="6">
        <v>218.691</v>
      </c>
      <c r="AA45" s="6">
        <v>218.691</v>
      </c>
      <c r="AB45" s="9">
        <v>0.51999828800103</v>
      </c>
      <c r="AC45" s="5">
        <v>1.0</v>
      </c>
      <c r="AD45" s="4">
        <v>0</v>
      </c>
      <c r="AE45" s="4">
        <v>0</v>
      </c>
      <c r="AF45" s="4">
        <v>0</v>
      </c>
      <c r="AG45" s="3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3">
        <v>0</v>
      </c>
      <c r="AQ45" s="4">
        <v>0</v>
      </c>
      <c r="AR45" s="4">
        <v>0</v>
      </c>
      <c r="AS45" s="4">
        <v>0</v>
      </c>
      <c r="AT45" s="4">
        <v>0</v>
      </c>
      <c r="AU45" s="3">
        <v>0</v>
      </c>
      <c r="AV45" s="4">
        <v>0</v>
      </c>
      <c r="AW45" s="4">
        <v>0</v>
      </c>
    </row>
    <row r="46" spans="1:49">
      <c r="A46" s="3">
        <v>44</v>
      </c>
      <c r="B46" s="3" t="s">
        <v>135</v>
      </c>
      <c r="C46" t="s">
        <v>136</v>
      </c>
      <c r="D46" s="3" t="s">
        <v>45</v>
      </c>
      <c r="E46" s="4">
        <v>0</v>
      </c>
      <c r="F46" s="4">
        <v>0</v>
      </c>
      <c r="G46" s="5">
        <v>1.0</v>
      </c>
      <c r="H46" s="6">
        <v>67.5</v>
      </c>
      <c r="I46" s="4">
        <v>0</v>
      </c>
      <c r="J46" s="4">
        <v>0</v>
      </c>
      <c r="K46" s="5">
        <v>1.272726</v>
      </c>
      <c r="L46" s="6">
        <v>85.909005</v>
      </c>
      <c r="M46" s="7">
        <v>0.21428492857064</v>
      </c>
      <c r="N46" s="5">
        <v>1.0</v>
      </c>
      <c r="O46" s="5">
        <v>0.090909</v>
      </c>
      <c r="P46" s="4">
        <v>0</v>
      </c>
      <c r="Q46" s="4">
        <v>0</v>
      </c>
      <c r="R46" s="4">
        <v>0</v>
      </c>
      <c r="S46" s="4">
        <v>0</v>
      </c>
      <c r="T46" s="5">
        <v>0.166666</v>
      </c>
      <c r="U46" s="8" t="s">
        <v>46</v>
      </c>
      <c r="V46" s="6">
        <v>63.08</v>
      </c>
      <c r="W46" s="6">
        <v>63.08</v>
      </c>
      <c r="X46" s="6">
        <v>168.224</v>
      </c>
      <c r="Y46" s="6">
        <v>168.224</v>
      </c>
      <c r="Z46" s="6">
        <v>105.144</v>
      </c>
      <c r="AA46" s="6">
        <v>105.144</v>
      </c>
      <c r="AB46" s="9">
        <v>0.62502377782005</v>
      </c>
      <c r="AC46" s="5">
        <v>1.0</v>
      </c>
      <c r="AD46" s="4">
        <v>0</v>
      </c>
      <c r="AE46" s="4">
        <v>0</v>
      </c>
      <c r="AF46" s="4">
        <v>0</v>
      </c>
      <c r="AG46" s="3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3">
        <v>0</v>
      </c>
      <c r="AQ46" s="4">
        <v>0</v>
      </c>
      <c r="AR46" s="4">
        <v>0</v>
      </c>
      <c r="AS46" s="4">
        <v>0</v>
      </c>
      <c r="AT46" s="4">
        <v>0</v>
      </c>
      <c r="AU46" s="3">
        <v>0</v>
      </c>
      <c r="AV46" s="4">
        <v>0</v>
      </c>
      <c r="AW46" s="4">
        <v>0</v>
      </c>
    </row>
    <row r="47" spans="1:49">
      <c r="A47" s="3">
        <v>45</v>
      </c>
      <c r="B47" s="3" t="s">
        <v>137</v>
      </c>
      <c r="C47" t="s">
        <v>138</v>
      </c>
      <c r="D47" s="3" t="s">
        <v>57</v>
      </c>
      <c r="E47" s="4">
        <v>0</v>
      </c>
      <c r="F47" s="4">
        <v>0</v>
      </c>
      <c r="G47" s="5">
        <v>1.0</v>
      </c>
      <c r="H47" s="6">
        <v>45.0</v>
      </c>
      <c r="I47" s="4">
        <v>0</v>
      </c>
      <c r="J47" s="4">
        <v>0</v>
      </c>
      <c r="K47" s="5">
        <v>1.272726</v>
      </c>
      <c r="L47" s="6">
        <v>57.27267</v>
      </c>
      <c r="M47" s="7">
        <v>0.21428492857064</v>
      </c>
      <c r="N47" s="5">
        <v>1.0</v>
      </c>
      <c r="O47" s="5">
        <v>0.090909</v>
      </c>
      <c r="P47" s="4">
        <v>0</v>
      </c>
      <c r="Q47" s="4">
        <v>0</v>
      </c>
      <c r="R47" s="4">
        <v>0</v>
      </c>
      <c r="S47" s="4">
        <v>0</v>
      </c>
      <c r="T47" s="5">
        <v>0.166666</v>
      </c>
      <c r="U47" s="8" t="s">
        <v>46</v>
      </c>
      <c r="V47" s="6">
        <v>42.06</v>
      </c>
      <c r="W47" s="6">
        <v>42.06</v>
      </c>
      <c r="X47" s="6">
        <v>140.187</v>
      </c>
      <c r="Y47" s="6">
        <v>140.187</v>
      </c>
      <c r="Z47" s="6">
        <v>98.127</v>
      </c>
      <c r="AA47" s="6">
        <v>98.127</v>
      </c>
      <c r="AB47" s="9">
        <v>0.69997218001669</v>
      </c>
      <c r="AC47" s="5">
        <v>1.0</v>
      </c>
      <c r="AD47" s="4">
        <v>0</v>
      </c>
      <c r="AE47" s="4">
        <v>0</v>
      </c>
      <c r="AF47" s="4">
        <v>0</v>
      </c>
      <c r="AG47" s="3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3">
        <v>0</v>
      </c>
      <c r="AQ47" s="4">
        <v>0</v>
      </c>
      <c r="AR47" s="4">
        <v>0</v>
      </c>
      <c r="AS47" s="4">
        <v>0</v>
      </c>
      <c r="AT47" s="4">
        <v>0</v>
      </c>
      <c r="AU47" s="3">
        <v>0</v>
      </c>
      <c r="AV47" s="4">
        <v>0</v>
      </c>
      <c r="AW47" s="4">
        <v>0</v>
      </c>
    </row>
    <row r="48" spans="1:49">
      <c r="A48" s="3">
        <v>46</v>
      </c>
      <c r="B48" s="3" t="s">
        <v>139</v>
      </c>
      <c r="C48" t="s">
        <v>140</v>
      </c>
      <c r="D48" s="3" t="s">
        <v>57</v>
      </c>
      <c r="E48" s="4">
        <v>0</v>
      </c>
      <c r="F48" s="4">
        <v>0</v>
      </c>
      <c r="G48" s="5">
        <v>1.0</v>
      </c>
      <c r="H48" s="6">
        <v>45.0</v>
      </c>
      <c r="I48" s="4">
        <v>0</v>
      </c>
      <c r="J48" s="4">
        <v>0</v>
      </c>
      <c r="K48" s="5">
        <v>1.272726</v>
      </c>
      <c r="L48" s="6">
        <v>57.27267</v>
      </c>
      <c r="M48" s="7">
        <v>0.21428492857064</v>
      </c>
      <c r="N48" s="5">
        <v>1.0</v>
      </c>
      <c r="O48" s="5">
        <v>0.090909</v>
      </c>
      <c r="P48" s="4">
        <v>0</v>
      </c>
      <c r="Q48" s="4">
        <v>0</v>
      </c>
      <c r="R48" s="4">
        <v>0</v>
      </c>
      <c r="S48" s="4">
        <v>0</v>
      </c>
      <c r="T48" s="5">
        <v>0.166666</v>
      </c>
      <c r="U48" s="8" t="s">
        <v>46</v>
      </c>
      <c r="V48" s="6">
        <v>42.06</v>
      </c>
      <c r="W48" s="6">
        <v>42.06</v>
      </c>
      <c r="X48" s="6">
        <v>140.187</v>
      </c>
      <c r="Y48" s="6">
        <v>140.187</v>
      </c>
      <c r="Z48" s="6">
        <v>98.127</v>
      </c>
      <c r="AA48" s="6">
        <v>98.127</v>
      </c>
      <c r="AB48" s="9">
        <v>0.69997218001669</v>
      </c>
      <c r="AC48" s="5">
        <v>1.0</v>
      </c>
      <c r="AD48" s="4">
        <v>0</v>
      </c>
      <c r="AE48" s="4">
        <v>0</v>
      </c>
      <c r="AF48" s="4">
        <v>0</v>
      </c>
      <c r="AG48" s="3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3">
        <v>0</v>
      </c>
      <c r="AQ48" s="4">
        <v>0</v>
      </c>
      <c r="AR48" s="4">
        <v>0</v>
      </c>
      <c r="AS48" s="4">
        <v>0</v>
      </c>
      <c r="AT48" s="4">
        <v>0</v>
      </c>
      <c r="AU48" s="3">
        <v>0</v>
      </c>
      <c r="AV48" s="4">
        <v>0</v>
      </c>
      <c r="AW48" s="4">
        <v>0</v>
      </c>
    </row>
    <row r="49" spans="1:49">
      <c r="A49" s="3">
        <v>47</v>
      </c>
      <c r="B49" s="3" t="s">
        <v>141</v>
      </c>
      <c r="C49" t="s">
        <v>142</v>
      </c>
      <c r="D49" s="3" t="s">
        <v>45</v>
      </c>
      <c r="E49" s="4">
        <v>0</v>
      </c>
      <c r="F49" s="4">
        <v>0</v>
      </c>
      <c r="G49" s="5">
        <v>1.0</v>
      </c>
      <c r="H49" s="6">
        <v>13.502</v>
      </c>
      <c r="I49" s="4">
        <v>0</v>
      </c>
      <c r="J49" s="4">
        <v>0</v>
      </c>
      <c r="K49" s="5">
        <v>1.272726</v>
      </c>
      <c r="L49" s="6">
        <v>17.184346</v>
      </c>
      <c r="M49" s="7">
        <v>0.21428492857064</v>
      </c>
      <c r="N49" s="5">
        <v>1.0</v>
      </c>
      <c r="O49" s="5">
        <v>0.090909</v>
      </c>
      <c r="P49" s="4">
        <v>0</v>
      </c>
      <c r="Q49" s="4">
        <v>0</v>
      </c>
      <c r="R49" s="4">
        <v>0</v>
      </c>
      <c r="S49" s="4">
        <v>0</v>
      </c>
      <c r="T49" s="5">
        <v>0.166666</v>
      </c>
      <c r="U49" s="8" t="s">
        <v>46</v>
      </c>
      <c r="V49" s="6">
        <v>12.62</v>
      </c>
      <c r="W49" s="6">
        <v>12.62</v>
      </c>
      <c r="X49" s="6">
        <v>74.773</v>
      </c>
      <c r="Y49" s="6">
        <v>74.773</v>
      </c>
      <c r="Z49" s="6">
        <v>62.153</v>
      </c>
      <c r="AA49" s="6">
        <v>62.153</v>
      </c>
      <c r="AB49" s="9">
        <v>0.8312225001003</v>
      </c>
      <c r="AC49" s="5">
        <v>1.0</v>
      </c>
      <c r="AD49" s="4">
        <v>0</v>
      </c>
      <c r="AE49" s="4">
        <v>0</v>
      </c>
      <c r="AF49" s="4">
        <v>0</v>
      </c>
      <c r="AG49" s="3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3">
        <v>0</v>
      </c>
      <c r="AQ49" s="4">
        <v>0</v>
      </c>
      <c r="AR49" s="4">
        <v>0</v>
      </c>
      <c r="AS49" s="4">
        <v>0</v>
      </c>
      <c r="AT49" s="4">
        <v>0</v>
      </c>
      <c r="AU49" s="3">
        <v>0</v>
      </c>
      <c r="AV49" s="4">
        <v>0</v>
      </c>
      <c r="AW49" s="4">
        <v>0</v>
      </c>
    </row>
    <row r="50" spans="1:49">
      <c r="A50" s="3">
        <v>48</v>
      </c>
      <c r="B50" s="3" t="s">
        <v>143</v>
      </c>
      <c r="C50" t="s">
        <v>144</v>
      </c>
      <c r="D50" s="3" t="s">
        <v>45</v>
      </c>
      <c r="E50" s="5">
        <v>1.0</v>
      </c>
      <c r="F50" s="6">
        <v>3290.0</v>
      </c>
      <c r="G50" s="4">
        <v>0</v>
      </c>
      <c r="H50" s="4">
        <v>0</v>
      </c>
      <c r="I50" s="4">
        <v>0</v>
      </c>
      <c r="J50" s="4">
        <v>0</v>
      </c>
      <c r="K50" s="5">
        <v>3.818178</v>
      </c>
      <c r="L50" s="6">
        <v>13653.040892</v>
      </c>
      <c r="M50" s="7">
        <v>1.0</v>
      </c>
      <c r="N50" s="5">
        <v>3.0</v>
      </c>
      <c r="O50" s="5">
        <v>0.272727</v>
      </c>
      <c r="P50" s="4">
        <v>0</v>
      </c>
      <c r="Q50" s="4">
        <v>0</v>
      </c>
      <c r="R50" s="4">
        <v>0</v>
      </c>
      <c r="S50" s="4">
        <v>0</v>
      </c>
      <c r="T50" s="5">
        <v>0.5</v>
      </c>
      <c r="U50" s="8" t="s">
        <v>46</v>
      </c>
      <c r="V50" s="6">
        <v>10059.0</v>
      </c>
      <c r="W50" s="6">
        <v>3353.0</v>
      </c>
      <c r="X50" s="6">
        <v>12887.851</v>
      </c>
      <c r="Y50" s="6">
        <v>4295.9503333333</v>
      </c>
      <c r="Z50" s="6">
        <v>2828.851</v>
      </c>
      <c r="AA50" s="6">
        <v>942.95033333333</v>
      </c>
      <c r="AB50" s="10">
        <v>0.21949749419046</v>
      </c>
      <c r="AC50" s="5">
        <v>3.0</v>
      </c>
      <c r="AD50" s="4">
        <v>0</v>
      </c>
      <c r="AE50" s="4">
        <v>0</v>
      </c>
      <c r="AF50" s="4">
        <v>0</v>
      </c>
      <c r="AG50" s="3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3">
        <v>0</v>
      </c>
      <c r="AQ50" s="4">
        <v>0</v>
      </c>
      <c r="AR50" s="4">
        <v>0</v>
      </c>
      <c r="AS50" s="4">
        <v>0</v>
      </c>
      <c r="AT50" s="4">
        <v>0</v>
      </c>
      <c r="AU50" s="3">
        <v>0</v>
      </c>
      <c r="AV50" s="4">
        <v>0</v>
      </c>
      <c r="AW50" s="4">
        <v>0</v>
      </c>
    </row>
    <row r="51" spans="1:49">
      <c r="A51" s="3">
        <v>49</v>
      </c>
      <c r="B51" s="3" t="s">
        <v>145</v>
      </c>
      <c r="C51" t="s">
        <v>146</v>
      </c>
      <c r="D51" s="3" t="s">
        <v>45</v>
      </c>
      <c r="E51" s="5">
        <v>1.0</v>
      </c>
      <c r="F51" s="6">
        <v>2940.0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1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8" t="s">
        <v>46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>
        <v>0</v>
      </c>
      <c r="AC51" s="4">
        <v>0</v>
      </c>
      <c r="AD51" s="4">
        <v>0</v>
      </c>
      <c r="AE51" s="4">
        <v>0</v>
      </c>
      <c r="AF51" s="4">
        <v>0</v>
      </c>
      <c r="AG51" s="3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3">
        <v>0</v>
      </c>
      <c r="AQ51" s="4">
        <v>0</v>
      </c>
      <c r="AR51" s="4">
        <v>0</v>
      </c>
      <c r="AS51" s="4">
        <v>0</v>
      </c>
      <c r="AT51" s="4">
        <v>0</v>
      </c>
      <c r="AU51" s="3">
        <v>0</v>
      </c>
      <c r="AV51" s="4">
        <v>0</v>
      </c>
      <c r="AW51" s="4">
        <v>0</v>
      </c>
    </row>
    <row r="52" spans="1:49">
      <c r="A52" s="3">
        <v>50</v>
      </c>
      <c r="B52" s="3" t="s">
        <v>147</v>
      </c>
      <c r="C52" t="s">
        <v>148</v>
      </c>
      <c r="D52" s="3" t="s">
        <v>45</v>
      </c>
      <c r="E52" s="5">
        <v>1.0</v>
      </c>
      <c r="F52" s="6">
        <v>1406.5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1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8" t="s">
        <v>46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>
        <v>0</v>
      </c>
      <c r="AC52" s="4">
        <v>0</v>
      </c>
      <c r="AD52" s="4">
        <v>0</v>
      </c>
      <c r="AE52" s="4">
        <v>0</v>
      </c>
      <c r="AF52" s="4">
        <v>0</v>
      </c>
      <c r="AG52" s="3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3">
        <v>0</v>
      </c>
      <c r="AQ52" s="4">
        <v>0</v>
      </c>
      <c r="AR52" s="4">
        <v>0</v>
      </c>
      <c r="AS52" s="4">
        <v>0</v>
      </c>
      <c r="AT52" s="4">
        <v>0</v>
      </c>
      <c r="AU52" s="3">
        <v>0</v>
      </c>
      <c r="AV52" s="4">
        <v>0</v>
      </c>
      <c r="AW52" s="4">
        <v>0</v>
      </c>
    </row>
    <row r="53" spans="1:49">
      <c r="A53" s="3">
        <v>51</v>
      </c>
      <c r="B53" s="3" t="s">
        <v>149</v>
      </c>
      <c r="C53" t="s">
        <v>150</v>
      </c>
      <c r="D53" s="3" t="s">
        <v>60</v>
      </c>
      <c r="E53" s="5">
        <v>1.0</v>
      </c>
      <c r="F53" s="6">
        <v>1839.15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1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8" t="s">
        <v>46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>
        <v>0</v>
      </c>
      <c r="AC53" s="4">
        <v>0</v>
      </c>
      <c r="AD53" s="4">
        <v>0</v>
      </c>
      <c r="AE53" s="4">
        <v>0</v>
      </c>
      <c r="AF53" s="4">
        <v>0</v>
      </c>
      <c r="AG53" s="3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3">
        <v>0</v>
      </c>
      <c r="AQ53" s="4">
        <v>0</v>
      </c>
      <c r="AR53" s="4">
        <v>0</v>
      </c>
      <c r="AS53" s="4">
        <v>0</v>
      </c>
      <c r="AT53" s="4">
        <v>0</v>
      </c>
      <c r="AU53" s="3">
        <v>0</v>
      </c>
      <c r="AV53" s="4">
        <v>0</v>
      </c>
      <c r="AW53" s="4">
        <v>0</v>
      </c>
    </row>
    <row r="54" spans="1:49">
      <c r="A54" s="3">
        <v>52</v>
      </c>
      <c r="B54" s="3" t="s">
        <v>151</v>
      </c>
      <c r="C54" t="s">
        <v>152</v>
      </c>
      <c r="D54" s="3" t="s">
        <v>60</v>
      </c>
      <c r="E54" s="5">
        <v>2.0</v>
      </c>
      <c r="F54" s="6">
        <v>1839.6</v>
      </c>
      <c r="G54" s="4">
        <v>0</v>
      </c>
      <c r="H54" s="4">
        <v>0</v>
      </c>
      <c r="I54" s="4">
        <v>0</v>
      </c>
      <c r="J54" s="4">
        <v>0</v>
      </c>
      <c r="K54" s="5">
        <v>2.545452</v>
      </c>
      <c r="L54" s="6">
        <v>2341.30675</v>
      </c>
      <c r="M54" s="7">
        <v>1.0</v>
      </c>
      <c r="N54" s="5">
        <v>2.0</v>
      </c>
      <c r="O54" s="5">
        <v>0.181818</v>
      </c>
      <c r="P54" s="4">
        <v>0</v>
      </c>
      <c r="Q54" s="4">
        <v>0</v>
      </c>
      <c r="R54" s="4">
        <v>0</v>
      </c>
      <c r="S54" s="4">
        <v>0</v>
      </c>
      <c r="T54" s="5">
        <v>0.333333</v>
      </c>
      <c r="U54" s="8" t="s">
        <v>46</v>
      </c>
      <c r="V54" s="6">
        <v>1667.68</v>
      </c>
      <c r="W54" s="6">
        <v>833.84</v>
      </c>
      <c r="X54" s="6">
        <v>2373.84</v>
      </c>
      <c r="Y54" s="6">
        <v>1186.92</v>
      </c>
      <c r="Z54" s="6">
        <v>706.16</v>
      </c>
      <c r="AA54" s="6">
        <v>353.08</v>
      </c>
      <c r="AB54" s="9">
        <v>0.29747581976881</v>
      </c>
      <c r="AC54" s="5">
        <v>2.0</v>
      </c>
      <c r="AD54" s="4">
        <v>0</v>
      </c>
      <c r="AE54" s="4">
        <v>0</v>
      </c>
      <c r="AF54" s="4">
        <v>0</v>
      </c>
      <c r="AG54" s="3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3">
        <v>0</v>
      </c>
      <c r="AQ54" s="4">
        <v>0</v>
      </c>
      <c r="AR54" s="4">
        <v>0</v>
      </c>
      <c r="AS54" s="4">
        <v>0</v>
      </c>
      <c r="AT54" s="4">
        <v>0</v>
      </c>
      <c r="AU54" s="3">
        <v>0</v>
      </c>
      <c r="AV54" s="4">
        <v>0</v>
      </c>
      <c r="AW54" s="4">
        <v>0</v>
      </c>
    </row>
    <row r="55" spans="1:49">
      <c r="A55" s="3">
        <v>53</v>
      </c>
      <c r="B55" s="3" t="s">
        <v>153</v>
      </c>
      <c r="C55" t="s">
        <v>154</v>
      </c>
      <c r="D55" s="3" t="s">
        <v>104</v>
      </c>
      <c r="E55" s="5">
        <v>4.0</v>
      </c>
      <c r="F55" s="6">
        <v>2451.6</v>
      </c>
      <c r="G55" s="4">
        <v>0</v>
      </c>
      <c r="H55" s="4">
        <v>0</v>
      </c>
      <c r="I55" s="4">
        <v>0</v>
      </c>
      <c r="J55" s="4">
        <v>0</v>
      </c>
      <c r="K55" s="5">
        <v>2.545452</v>
      </c>
      <c r="L55" s="6">
        <v>1560.107531</v>
      </c>
      <c r="M55" s="7">
        <v>1.0</v>
      </c>
      <c r="N55" s="5">
        <v>2.0</v>
      </c>
      <c r="O55" s="5">
        <v>0.181818</v>
      </c>
      <c r="P55" s="4">
        <v>0</v>
      </c>
      <c r="Q55" s="4">
        <v>0</v>
      </c>
      <c r="R55" s="4">
        <v>0</v>
      </c>
      <c r="S55" s="4">
        <v>0</v>
      </c>
      <c r="T55" s="5">
        <v>0.333333</v>
      </c>
      <c r="U55" s="8" t="s">
        <v>46</v>
      </c>
      <c r="V55" s="6">
        <v>1111.24</v>
      </c>
      <c r="W55" s="6">
        <v>555.62</v>
      </c>
      <c r="X55" s="6">
        <v>1588.78</v>
      </c>
      <c r="Y55" s="6">
        <v>794.39</v>
      </c>
      <c r="Z55" s="6">
        <v>477.54</v>
      </c>
      <c r="AA55" s="6">
        <v>238.77</v>
      </c>
      <c r="AB55" s="9">
        <v>0.3005702488702</v>
      </c>
      <c r="AC55" s="5">
        <v>2.0</v>
      </c>
      <c r="AD55" s="4">
        <v>0</v>
      </c>
      <c r="AE55" s="4">
        <v>0</v>
      </c>
      <c r="AF55" s="4">
        <v>0</v>
      </c>
      <c r="AG55" s="3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3">
        <v>0</v>
      </c>
      <c r="AQ55" s="4">
        <v>0</v>
      </c>
      <c r="AR55" s="4">
        <v>0</v>
      </c>
      <c r="AS55" s="4">
        <v>0</v>
      </c>
      <c r="AT55" s="4">
        <v>0</v>
      </c>
      <c r="AU55" s="3">
        <v>0</v>
      </c>
      <c r="AV55" s="4">
        <v>0</v>
      </c>
      <c r="AW55" s="4">
        <v>0</v>
      </c>
    </row>
    <row r="56" spans="1:49">
      <c r="A56" s="3">
        <v>54</v>
      </c>
      <c r="B56" s="3" t="s">
        <v>155</v>
      </c>
      <c r="C56" t="s">
        <v>156</v>
      </c>
      <c r="D56" s="3" t="s">
        <v>60</v>
      </c>
      <c r="E56" s="5">
        <v>5.0</v>
      </c>
      <c r="F56" s="6">
        <v>1050.0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1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8" t="s">
        <v>46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>
        <v>0</v>
      </c>
      <c r="AC56" s="4">
        <v>0</v>
      </c>
      <c r="AD56" s="4">
        <v>0</v>
      </c>
      <c r="AE56" s="4">
        <v>0</v>
      </c>
      <c r="AF56" s="4">
        <v>0</v>
      </c>
      <c r="AG56" s="3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3">
        <v>0</v>
      </c>
      <c r="AQ56" s="4">
        <v>0</v>
      </c>
      <c r="AR56" s="4">
        <v>0</v>
      </c>
      <c r="AS56" s="4">
        <v>0</v>
      </c>
      <c r="AT56" s="4">
        <v>0</v>
      </c>
      <c r="AU56" s="3">
        <v>0</v>
      </c>
      <c r="AV56" s="4">
        <v>0</v>
      </c>
      <c r="AW56" s="4">
        <v>0</v>
      </c>
    </row>
    <row r="57" spans="1:49">
      <c r="A57" s="3">
        <v>55</v>
      </c>
      <c r="B57" s="3" t="s">
        <v>157</v>
      </c>
      <c r="C57" t="s">
        <v>158</v>
      </c>
      <c r="D57" s="3" t="s">
        <v>104</v>
      </c>
      <c r="E57" s="5">
        <v>2.0</v>
      </c>
      <c r="F57" s="6">
        <v>960.0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1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8" t="s">
        <v>46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>
        <v>0</v>
      </c>
      <c r="AC57" s="4">
        <v>0</v>
      </c>
      <c r="AD57" s="4">
        <v>0</v>
      </c>
      <c r="AE57" s="4">
        <v>0</v>
      </c>
      <c r="AF57" s="4">
        <v>0</v>
      </c>
      <c r="AG57" s="3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3">
        <v>0</v>
      </c>
      <c r="AQ57" s="4">
        <v>0</v>
      </c>
      <c r="AR57" s="4">
        <v>0</v>
      </c>
      <c r="AS57" s="4">
        <v>0</v>
      </c>
      <c r="AT57" s="4">
        <v>0</v>
      </c>
      <c r="AU57" s="3">
        <v>0</v>
      </c>
      <c r="AV57" s="4">
        <v>0</v>
      </c>
      <c r="AW57" s="4">
        <v>0</v>
      </c>
    </row>
    <row r="58" spans="1:49">
      <c r="A58" s="3">
        <v>56</v>
      </c>
      <c r="B58" s="3" t="s">
        <v>159</v>
      </c>
      <c r="C58" t="s">
        <v>160</v>
      </c>
      <c r="D58" s="3" t="s">
        <v>57</v>
      </c>
      <c r="E58" s="5">
        <v>10.0</v>
      </c>
      <c r="F58" s="6">
        <v>702.0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1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8" t="s">
        <v>46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>
        <v>0</v>
      </c>
      <c r="AC58" s="4">
        <v>0</v>
      </c>
      <c r="AD58" s="4">
        <v>0</v>
      </c>
      <c r="AE58" s="4">
        <v>0</v>
      </c>
      <c r="AF58" s="4">
        <v>0</v>
      </c>
      <c r="AG58" s="3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3">
        <v>0</v>
      </c>
      <c r="AQ58" s="4">
        <v>0</v>
      </c>
      <c r="AR58" s="4">
        <v>0</v>
      </c>
      <c r="AS58" s="4">
        <v>0</v>
      </c>
      <c r="AT58" s="4">
        <v>0</v>
      </c>
      <c r="AU58" s="3">
        <v>0</v>
      </c>
      <c r="AV58" s="4">
        <v>0</v>
      </c>
      <c r="AW58" s="4">
        <v>0</v>
      </c>
    </row>
    <row r="59" spans="1:49">
      <c r="A59" s="3">
        <v>57</v>
      </c>
      <c r="B59" s="3" t="s">
        <v>161</v>
      </c>
      <c r="C59" t="s">
        <v>162</v>
      </c>
      <c r="D59" s="3" t="s">
        <v>57</v>
      </c>
      <c r="E59" s="5">
        <v>10.0</v>
      </c>
      <c r="F59" s="6">
        <v>522.0</v>
      </c>
      <c r="G59" s="4">
        <v>0</v>
      </c>
      <c r="H59" s="4">
        <v>0</v>
      </c>
      <c r="I59" s="4">
        <v>0</v>
      </c>
      <c r="J59" s="4">
        <v>0</v>
      </c>
      <c r="K59" s="5">
        <v>1.272726</v>
      </c>
      <c r="L59" s="6">
        <v>68.988113</v>
      </c>
      <c r="M59" s="7">
        <v>1.0</v>
      </c>
      <c r="N59" s="5">
        <v>1.0</v>
      </c>
      <c r="O59" s="5">
        <v>0.090909</v>
      </c>
      <c r="P59" s="4">
        <v>0</v>
      </c>
      <c r="Q59" s="4">
        <v>0</v>
      </c>
      <c r="R59" s="5">
        <v>10.0</v>
      </c>
      <c r="S59" s="6">
        <v>542.05</v>
      </c>
      <c r="T59" s="5">
        <v>0.166666</v>
      </c>
      <c r="U59" s="15">
        <v>60.00024000096</v>
      </c>
      <c r="V59" s="6">
        <v>43.36</v>
      </c>
      <c r="W59" s="6">
        <v>43.36</v>
      </c>
      <c r="X59" s="6">
        <v>140.187</v>
      </c>
      <c r="Y59" s="6">
        <v>140.187</v>
      </c>
      <c r="Z59" s="6">
        <v>96.827</v>
      </c>
      <c r="AA59" s="6">
        <v>96.827</v>
      </c>
      <c r="AB59" s="9">
        <v>0.69069885224736</v>
      </c>
      <c r="AC59" s="5">
        <v>1.0</v>
      </c>
      <c r="AD59" s="4">
        <v>0</v>
      </c>
      <c r="AE59" s="4">
        <v>0</v>
      </c>
      <c r="AF59" s="4">
        <v>0</v>
      </c>
      <c r="AG59" s="3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3">
        <v>0</v>
      </c>
      <c r="AQ59" s="4">
        <v>0</v>
      </c>
      <c r="AR59" s="4">
        <v>0</v>
      </c>
      <c r="AS59" s="4">
        <v>0</v>
      </c>
      <c r="AT59" s="4">
        <v>0</v>
      </c>
      <c r="AU59" s="3">
        <v>0</v>
      </c>
      <c r="AV59" s="4">
        <v>0</v>
      </c>
      <c r="AW59" s="4">
        <v>0</v>
      </c>
    </row>
    <row r="60" spans="1:49">
      <c r="A60" s="3">
        <v>58</v>
      </c>
      <c r="B60" s="3" t="s">
        <v>163</v>
      </c>
      <c r="C60" t="s">
        <v>164</v>
      </c>
      <c r="D60" s="3" t="s">
        <v>104</v>
      </c>
      <c r="E60" s="5">
        <v>1.0</v>
      </c>
      <c r="F60" s="6">
        <v>968.851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1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8" t="s">
        <v>46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>
        <v>0</v>
      </c>
      <c r="AC60" s="4">
        <v>0</v>
      </c>
      <c r="AD60" s="4">
        <v>0</v>
      </c>
      <c r="AE60" s="4">
        <v>0</v>
      </c>
      <c r="AF60" s="4">
        <v>0</v>
      </c>
      <c r="AG60" s="3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3">
        <v>0</v>
      </c>
      <c r="AQ60" s="4">
        <v>0</v>
      </c>
      <c r="AR60" s="4">
        <v>0</v>
      </c>
      <c r="AS60" s="4">
        <v>0</v>
      </c>
      <c r="AT60" s="4">
        <v>0</v>
      </c>
      <c r="AU60" s="3">
        <v>0</v>
      </c>
      <c r="AV60" s="4">
        <v>0</v>
      </c>
      <c r="AW60" s="4">
        <v>0</v>
      </c>
    </row>
    <row r="61" spans="1:49">
      <c r="A61" s="3">
        <v>59</v>
      </c>
      <c r="B61" s="3" t="s">
        <v>165</v>
      </c>
      <c r="C61" t="s">
        <v>166</v>
      </c>
      <c r="D61" s="3" t="s">
        <v>104</v>
      </c>
      <c r="E61" s="5">
        <v>10.0</v>
      </c>
      <c r="F61" s="6">
        <v>2272.5</v>
      </c>
      <c r="G61" s="4">
        <v>0</v>
      </c>
      <c r="H61" s="4">
        <v>0</v>
      </c>
      <c r="I61" s="4">
        <v>0</v>
      </c>
      <c r="J61" s="4">
        <v>0</v>
      </c>
      <c r="K61" s="5">
        <v>3.818178</v>
      </c>
      <c r="L61" s="6">
        <v>652.908438</v>
      </c>
      <c r="M61" s="7">
        <v>1.0</v>
      </c>
      <c r="N61" s="5">
        <v>3.0</v>
      </c>
      <c r="O61" s="5">
        <v>0.272727</v>
      </c>
      <c r="P61" s="4">
        <v>0</v>
      </c>
      <c r="Q61" s="4">
        <v>0</v>
      </c>
      <c r="R61" s="4">
        <v>0</v>
      </c>
      <c r="S61" s="4">
        <v>0</v>
      </c>
      <c r="T61" s="5">
        <v>0.5</v>
      </c>
      <c r="U61" s="8" t="s">
        <v>46</v>
      </c>
      <c r="V61" s="6">
        <v>689.73</v>
      </c>
      <c r="W61" s="6">
        <v>229.91</v>
      </c>
      <c r="X61" s="6">
        <v>1261.683</v>
      </c>
      <c r="Y61" s="6">
        <v>420.561</v>
      </c>
      <c r="Z61" s="6">
        <v>571.953</v>
      </c>
      <c r="AA61" s="6">
        <v>190.651</v>
      </c>
      <c r="AB61" s="9">
        <v>0.45332543911585</v>
      </c>
      <c r="AC61" s="5">
        <v>3.0</v>
      </c>
      <c r="AD61" s="4">
        <v>0</v>
      </c>
      <c r="AE61" s="4">
        <v>0</v>
      </c>
      <c r="AF61" s="4">
        <v>0</v>
      </c>
      <c r="AG61" s="3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3">
        <v>0</v>
      </c>
      <c r="AQ61" s="4">
        <v>0</v>
      </c>
      <c r="AR61" s="4">
        <v>0</v>
      </c>
      <c r="AS61" s="4">
        <v>0</v>
      </c>
      <c r="AT61" s="4">
        <v>0</v>
      </c>
      <c r="AU61" s="3">
        <v>0</v>
      </c>
      <c r="AV61" s="4">
        <v>0</v>
      </c>
      <c r="AW61" s="4">
        <v>0</v>
      </c>
    </row>
    <row r="62" spans="1:49">
      <c r="A62" s="3">
        <v>60</v>
      </c>
      <c r="B62" s="3" t="s">
        <v>167</v>
      </c>
      <c r="C62" t="s">
        <v>168</v>
      </c>
      <c r="D62" s="3" t="s">
        <v>60</v>
      </c>
      <c r="E62" s="5">
        <v>5.0</v>
      </c>
      <c r="F62" s="6">
        <v>697.5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1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8" t="s">
        <v>46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>
        <v>0</v>
      </c>
      <c r="AC62" s="4">
        <v>0</v>
      </c>
      <c r="AD62" s="4">
        <v>0</v>
      </c>
      <c r="AE62" s="4">
        <v>0</v>
      </c>
      <c r="AF62" s="4">
        <v>0</v>
      </c>
      <c r="AG62" s="3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3">
        <v>0</v>
      </c>
      <c r="AQ62" s="4">
        <v>0</v>
      </c>
      <c r="AR62" s="4">
        <v>0</v>
      </c>
      <c r="AS62" s="4">
        <v>0</v>
      </c>
      <c r="AT62" s="4">
        <v>0</v>
      </c>
      <c r="AU62" s="3">
        <v>0</v>
      </c>
      <c r="AV62" s="4">
        <v>0</v>
      </c>
      <c r="AW62" s="4">
        <v>0</v>
      </c>
    </row>
    <row r="63" spans="1:49">
      <c r="A63" s="3">
        <v>61</v>
      </c>
      <c r="B63" s="3" t="s">
        <v>169</v>
      </c>
      <c r="C63" t="s">
        <v>170</v>
      </c>
      <c r="D63" s="3" t="s">
        <v>60</v>
      </c>
      <c r="E63" s="5">
        <v>7.0</v>
      </c>
      <c r="F63" s="6">
        <v>283.5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1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8" t="s">
        <v>46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>
        <v>0</v>
      </c>
      <c r="AC63" s="4">
        <v>0</v>
      </c>
      <c r="AD63" s="4">
        <v>0</v>
      </c>
      <c r="AE63" s="4">
        <v>0</v>
      </c>
      <c r="AF63" s="4">
        <v>0</v>
      </c>
      <c r="AG63" s="3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3">
        <v>0</v>
      </c>
      <c r="AQ63" s="4">
        <v>0</v>
      </c>
      <c r="AR63" s="4">
        <v>0</v>
      </c>
      <c r="AS63" s="4">
        <v>0</v>
      </c>
      <c r="AT63" s="4">
        <v>0</v>
      </c>
      <c r="AU63" s="3">
        <v>0</v>
      </c>
      <c r="AV63" s="4">
        <v>0</v>
      </c>
      <c r="AW63" s="4">
        <v>0</v>
      </c>
    </row>
    <row r="64" spans="1:49">
      <c r="A64" s="3">
        <v>62</v>
      </c>
      <c r="B64" s="3" t="s">
        <v>171</v>
      </c>
      <c r="C64" t="s">
        <v>172</v>
      </c>
      <c r="D64" s="3" t="s">
        <v>104</v>
      </c>
      <c r="E64" s="5">
        <v>7.0</v>
      </c>
      <c r="F64" s="6">
        <v>184.494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1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8" t="s">
        <v>46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>
        <v>0</v>
      </c>
      <c r="AC64" s="4">
        <v>0</v>
      </c>
      <c r="AD64" s="4">
        <v>0</v>
      </c>
      <c r="AE64" s="4">
        <v>0</v>
      </c>
      <c r="AF64" s="4">
        <v>0</v>
      </c>
      <c r="AG64" s="3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3">
        <v>0</v>
      </c>
      <c r="AQ64" s="4">
        <v>0</v>
      </c>
      <c r="AR64" s="4">
        <v>0</v>
      </c>
      <c r="AS64" s="4">
        <v>0</v>
      </c>
      <c r="AT64" s="4">
        <v>0</v>
      </c>
      <c r="AU64" s="3">
        <v>0</v>
      </c>
      <c r="AV64" s="4">
        <v>0</v>
      </c>
      <c r="AW64" s="4">
        <v>0</v>
      </c>
    </row>
    <row r="65" spans="1:49">
      <c r="A65" s="3">
        <v>63</v>
      </c>
      <c r="B65" s="3" t="s">
        <v>173</v>
      </c>
      <c r="C65" t="s">
        <v>174</v>
      </c>
      <c r="D65" s="3" t="s">
        <v>104</v>
      </c>
      <c r="E65" s="5">
        <v>20.0</v>
      </c>
      <c r="F65" s="6">
        <v>3600.0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1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8" t="s">
        <v>46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>
        <v>0</v>
      </c>
      <c r="AC65" s="4">
        <v>0</v>
      </c>
      <c r="AD65" s="4">
        <v>0</v>
      </c>
      <c r="AE65" s="4">
        <v>0</v>
      </c>
      <c r="AF65" s="4">
        <v>0</v>
      </c>
      <c r="AG65" s="3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3">
        <v>0</v>
      </c>
      <c r="AQ65" s="4">
        <v>0</v>
      </c>
      <c r="AR65" s="4">
        <v>0</v>
      </c>
      <c r="AS65" s="4">
        <v>0</v>
      </c>
      <c r="AT65" s="4">
        <v>0</v>
      </c>
      <c r="AU65" s="3">
        <v>0</v>
      </c>
      <c r="AV65" s="4">
        <v>0</v>
      </c>
      <c r="AW65" s="4">
        <v>0</v>
      </c>
    </row>
    <row r="66" spans="1:49">
      <c r="A66" s="3">
        <v>64</v>
      </c>
      <c r="B66" s="3" t="s">
        <v>175</v>
      </c>
      <c r="C66" t="s">
        <v>176</v>
      </c>
      <c r="D66" s="3" t="s">
        <v>45</v>
      </c>
      <c r="E66" s="4">
        <v>0</v>
      </c>
      <c r="F66" s="4">
        <v>0</v>
      </c>
      <c r="G66" s="4">
        <v>0</v>
      </c>
      <c r="H66" s="4">
        <v>0</v>
      </c>
      <c r="I66" s="5">
        <v>1.0</v>
      </c>
      <c r="J66" s="6">
        <v>1396.8</v>
      </c>
      <c r="K66" s="5">
        <v>1.272726</v>
      </c>
      <c r="L66" s="6">
        <v>1777.743677</v>
      </c>
      <c r="M66" s="7">
        <v>1.0</v>
      </c>
      <c r="N66" s="5">
        <v>1.0</v>
      </c>
      <c r="O66" s="5">
        <v>0.090909</v>
      </c>
      <c r="P66" s="5">
        <v>1.0</v>
      </c>
      <c r="Q66" s="5">
        <v>1.0</v>
      </c>
      <c r="R66" s="4">
        <v>0</v>
      </c>
      <c r="S66" s="4">
        <v>0</v>
      </c>
      <c r="T66" s="5">
        <v>0.333333</v>
      </c>
      <c r="U66" s="8" t="s">
        <v>46</v>
      </c>
      <c r="V66" s="6">
        <v>3271.03</v>
      </c>
      <c r="W66" s="6">
        <v>3271.03</v>
      </c>
      <c r="X66" s="6">
        <v>3457.944</v>
      </c>
      <c r="Y66" s="6">
        <v>3457.944</v>
      </c>
      <c r="Z66" s="6">
        <v>186.914</v>
      </c>
      <c r="AA66" s="6">
        <v>186.914</v>
      </c>
      <c r="AB66" s="10">
        <v>0.054053506939384</v>
      </c>
      <c r="AC66" s="5">
        <v>1.0</v>
      </c>
      <c r="AD66" s="4">
        <v>0</v>
      </c>
      <c r="AE66" s="4">
        <v>0</v>
      </c>
      <c r="AF66" s="4">
        <v>0</v>
      </c>
      <c r="AG66" s="3">
        <v>0</v>
      </c>
      <c r="AH66" s="4">
        <v>0</v>
      </c>
      <c r="AI66" s="4">
        <v>0</v>
      </c>
      <c r="AJ66" s="6">
        <v>1305.42</v>
      </c>
      <c r="AK66" s="6">
        <v>1305.42</v>
      </c>
      <c r="AL66" s="6">
        <v>1859.813</v>
      </c>
      <c r="AM66" s="6">
        <v>1859.813</v>
      </c>
      <c r="AN66" s="6">
        <v>554.393</v>
      </c>
      <c r="AO66" s="6">
        <v>554.393</v>
      </c>
      <c r="AP66" s="9">
        <v>0.2980907220242</v>
      </c>
      <c r="AQ66" s="5">
        <v>1.0</v>
      </c>
      <c r="AR66" s="4">
        <v>0</v>
      </c>
      <c r="AS66" s="4">
        <v>0</v>
      </c>
      <c r="AT66" s="4">
        <v>0</v>
      </c>
      <c r="AU66" s="3">
        <v>0</v>
      </c>
      <c r="AV66" s="4">
        <v>0</v>
      </c>
      <c r="AW66" s="4">
        <v>0</v>
      </c>
    </row>
    <row r="67" spans="1:49">
      <c r="A67" s="3">
        <v>65</v>
      </c>
      <c r="B67" s="3" t="s">
        <v>177</v>
      </c>
      <c r="C67" t="s">
        <v>178</v>
      </c>
      <c r="D67" s="3" t="s">
        <v>60</v>
      </c>
      <c r="E67" s="4">
        <v>0</v>
      </c>
      <c r="F67" s="4">
        <v>0</v>
      </c>
      <c r="G67" s="4">
        <v>0</v>
      </c>
      <c r="H67" s="4">
        <v>0</v>
      </c>
      <c r="I67" s="5">
        <v>10.0</v>
      </c>
      <c r="J67" s="6">
        <v>2600.0</v>
      </c>
      <c r="K67" s="4">
        <v>0</v>
      </c>
      <c r="L67" s="4">
        <v>0</v>
      </c>
      <c r="M67" s="14">
        <v>0</v>
      </c>
      <c r="N67" s="4">
        <v>0</v>
      </c>
      <c r="O67" s="4">
        <v>0</v>
      </c>
      <c r="P67" s="5">
        <v>10.0</v>
      </c>
      <c r="Q67" s="5">
        <v>10.0</v>
      </c>
      <c r="R67" s="4">
        <v>0</v>
      </c>
      <c r="S67" s="4">
        <v>0</v>
      </c>
      <c r="T67" s="5">
        <v>1.666666</v>
      </c>
      <c r="U67" s="8" t="s">
        <v>46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>
        <v>0</v>
      </c>
      <c r="AC67" s="4">
        <v>0</v>
      </c>
      <c r="AD67" s="4">
        <v>0</v>
      </c>
      <c r="AE67" s="4">
        <v>0</v>
      </c>
      <c r="AF67" s="4">
        <v>0</v>
      </c>
      <c r="AG67" s="3">
        <v>0</v>
      </c>
      <c r="AH67" s="4">
        <v>0</v>
      </c>
      <c r="AI67" s="4">
        <v>0</v>
      </c>
      <c r="AJ67" s="6">
        <v>2429.91</v>
      </c>
      <c r="AK67" s="6">
        <v>242.991</v>
      </c>
      <c r="AL67" s="6">
        <v>3200.0</v>
      </c>
      <c r="AM67" s="6">
        <v>320.0</v>
      </c>
      <c r="AN67" s="6">
        <v>770.09</v>
      </c>
      <c r="AO67" s="6">
        <v>77.009</v>
      </c>
      <c r="AP67" s="10">
        <v>0.240653125</v>
      </c>
      <c r="AQ67" s="5">
        <v>10.0</v>
      </c>
      <c r="AR67" s="4">
        <v>0</v>
      </c>
      <c r="AS67" s="4">
        <v>0</v>
      </c>
      <c r="AT67" s="4">
        <v>0</v>
      </c>
      <c r="AU67" s="3">
        <v>0</v>
      </c>
      <c r="AV67" s="4">
        <v>0</v>
      </c>
      <c r="AW67" s="4">
        <v>0</v>
      </c>
    </row>
    <row r="68" spans="1:49">
      <c r="A68" s="3">
        <v>66</v>
      </c>
      <c r="B68" s="3" t="s">
        <v>179</v>
      </c>
      <c r="C68" t="s">
        <v>180</v>
      </c>
      <c r="D68" s="3" t="s">
        <v>60</v>
      </c>
      <c r="E68" s="5">
        <v>1.0</v>
      </c>
      <c r="F68" s="6">
        <v>607.5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1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8" t="s">
        <v>46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>
        <v>0</v>
      </c>
      <c r="AC68" s="4">
        <v>0</v>
      </c>
      <c r="AD68" s="4">
        <v>0</v>
      </c>
      <c r="AE68" s="4">
        <v>0</v>
      </c>
      <c r="AF68" s="4">
        <v>0</v>
      </c>
      <c r="AG68" s="3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3">
        <v>0</v>
      </c>
      <c r="AQ68" s="4">
        <v>0</v>
      </c>
      <c r="AR68" s="4">
        <v>0</v>
      </c>
      <c r="AS68" s="4">
        <v>0</v>
      </c>
      <c r="AT68" s="4">
        <v>0</v>
      </c>
      <c r="AU68" s="3">
        <v>0</v>
      </c>
      <c r="AV68" s="4">
        <v>0</v>
      </c>
      <c r="AW68" s="4">
        <v>0</v>
      </c>
    </row>
    <row r="69" spans="1:49">
      <c r="A69" s="3">
        <v>67</v>
      </c>
      <c r="B69" s="3" t="s">
        <v>181</v>
      </c>
      <c r="C69" t="s">
        <v>182</v>
      </c>
      <c r="D69" s="3" t="s">
        <v>60</v>
      </c>
      <c r="E69" s="5">
        <v>5.0</v>
      </c>
      <c r="F69" s="6">
        <v>8684.997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1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8" t="s">
        <v>46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>
        <v>0</v>
      </c>
      <c r="AC69" s="4">
        <v>0</v>
      </c>
      <c r="AD69" s="4">
        <v>0</v>
      </c>
      <c r="AE69" s="4">
        <v>0</v>
      </c>
      <c r="AF69" s="4">
        <v>0</v>
      </c>
      <c r="AG69" s="3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3">
        <v>0</v>
      </c>
      <c r="AQ69" s="4">
        <v>0</v>
      </c>
      <c r="AR69" s="4">
        <v>0</v>
      </c>
      <c r="AS69" s="4">
        <v>0</v>
      </c>
      <c r="AT69" s="4">
        <v>0</v>
      </c>
      <c r="AU69" s="3">
        <v>0</v>
      </c>
      <c r="AV69" s="4">
        <v>0</v>
      </c>
      <c r="AW69" s="4">
        <v>0</v>
      </c>
    </row>
    <row r="70" spans="1:49">
      <c r="A70" s="3">
        <v>68</v>
      </c>
      <c r="B70" s="3" t="s">
        <v>183</v>
      </c>
      <c r="C70" t="s">
        <v>184</v>
      </c>
      <c r="D70" s="3" t="s">
        <v>60</v>
      </c>
      <c r="E70" s="5">
        <v>1.0</v>
      </c>
      <c r="F70" s="6">
        <v>552.15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1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8" t="s">
        <v>46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>
        <v>0</v>
      </c>
      <c r="AC70" s="4">
        <v>0</v>
      </c>
      <c r="AD70" s="4">
        <v>0</v>
      </c>
      <c r="AE70" s="4">
        <v>0</v>
      </c>
      <c r="AF70" s="4">
        <v>0</v>
      </c>
      <c r="AG70" s="3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3">
        <v>0</v>
      </c>
      <c r="AQ70" s="4">
        <v>0</v>
      </c>
      <c r="AR70" s="4">
        <v>0</v>
      </c>
      <c r="AS70" s="4">
        <v>0</v>
      </c>
      <c r="AT70" s="4">
        <v>0</v>
      </c>
      <c r="AU70" s="3">
        <v>0</v>
      </c>
      <c r="AV70" s="4">
        <v>0</v>
      </c>
      <c r="AW70" s="4">
        <v>0</v>
      </c>
    </row>
    <row r="71" spans="1:49">
      <c r="A71" s="3">
        <v>69</v>
      </c>
      <c r="B71" s="3" t="s">
        <v>185</v>
      </c>
      <c r="C71" t="s">
        <v>186</v>
      </c>
      <c r="D71" s="3" t="s">
        <v>45</v>
      </c>
      <c r="E71" s="5">
        <v>1.0</v>
      </c>
      <c r="F71" s="6">
        <v>22472.559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1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8" t="s">
        <v>46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>
        <v>0</v>
      </c>
      <c r="AC71" s="4">
        <v>0</v>
      </c>
      <c r="AD71" s="4">
        <v>0</v>
      </c>
      <c r="AE71" s="4">
        <v>0</v>
      </c>
      <c r="AF71" s="4">
        <v>0</v>
      </c>
      <c r="AG71" s="3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3">
        <v>0</v>
      </c>
      <c r="AQ71" s="4">
        <v>0</v>
      </c>
      <c r="AR71" s="4">
        <v>0</v>
      </c>
      <c r="AS71" s="4">
        <v>0</v>
      </c>
      <c r="AT71" s="4">
        <v>0</v>
      </c>
      <c r="AU71" s="3">
        <v>0</v>
      </c>
      <c r="AV71" s="4">
        <v>0</v>
      </c>
      <c r="AW71" s="4">
        <v>0</v>
      </c>
    </row>
    <row r="72" spans="1:49">
      <c r="A72" s="3">
        <v>70</v>
      </c>
      <c r="B72" s="3" t="s">
        <v>187</v>
      </c>
      <c r="C72" t="s">
        <v>188</v>
      </c>
      <c r="D72" s="3" t="s">
        <v>57</v>
      </c>
      <c r="E72" s="5">
        <v>4.0</v>
      </c>
      <c r="F72" s="6">
        <v>720.0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1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8" t="s">
        <v>46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>
        <v>0</v>
      </c>
      <c r="AC72" s="4">
        <v>0</v>
      </c>
      <c r="AD72" s="4">
        <v>0</v>
      </c>
      <c r="AE72" s="4">
        <v>0</v>
      </c>
      <c r="AF72" s="4">
        <v>0</v>
      </c>
      <c r="AG72" s="3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3">
        <v>0</v>
      </c>
      <c r="AQ72" s="4">
        <v>0</v>
      </c>
      <c r="AR72" s="4">
        <v>0</v>
      </c>
      <c r="AS72" s="4">
        <v>0</v>
      </c>
      <c r="AT72" s="4">
        <v>0</v>
      </c>
      <c r="AU72" s="3">
        <v>0</v>
      </c>
      <c r="AV72" s="4">
        <v>0</v>
      </c>
      <c r="AW72" s="4">
        <v>0</v>
      </c>
    </row>
    <row r="73" spans="1:49">
      <c r="A73" s="3">
        <v>71</v>
      </c>
      <c r="B73" s="3" t="s">
        <v>189</v>
      </c>
      <c r="C73" t="s">
        <v>190</v>
      </c>
      <c r="D73" s="3" t="s">
        <v>57</v>
      </c>
      <c r="E73" s="5">
        <v>1.0</v>
      </c>
      <c r="F73" s="6">
        <v>918.0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1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8" t="s">
        <v>46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>
        <v>0</v>
      </c>
      <c r="AC73" s="4">
        <v>0</v>
      </c>
      <c r="AD73" s="4">
        <v>0</v>
      </c>
      <c r="AE73" s="4">
        <v>0</v>
      </c>
      <c r="AF73" s="4">
        <v>0</v>
      </c>
      <c r="AG73" s="3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3">
        <v>0</v>
      </c>
      <c r="AQ73" s="4">
        <v>0</v>
      </c>
      <c r="AR73" s="4">
        <v>0</v>
      </c>
      <c r="AS73" s="4">
        <v>0</v>
      </c>
      <c r="AT73" s="4">
        <v>0</v>
      </c>
      <c r="AU73" s="3">
        <v>0</v>
      </c>
      <c r="AV73" s="4">
        <v>0</v>
      </c>
      <c r="AW73" s="4">
        <v>0</v>
      </c>
    </row>
    <row r="74" spans="1:49">
      <c r="A74" s="3">
        <v>72</v>
      </c>
      <c r="B74" s="3" t="s">
        <v>191</v>
      </c>
      <c r="C74" t="s">
        <v>192</v>
      </c>
      <c r="D74" s="3" t="s">
        <v>45</v>
      </c>
      <c r="E74" s="5">
        <v>1.0</v>
      </c>
      <c r="F74" s="6">
        <v>8550.0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1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8" t="s">
        <v>46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>
        <v>0</v>
      </c>
      <c r="AC74" s="4">
        <v>0</v>
      </c>
      <c r="AD74" s="4">
        <v>0</v>
      </c>
      <c r="AE74" s="4">
        <v>0</v>
      </c>
      <c r="AF74" s="4">
        <v>0</v>
      </c>
      <c r="AG74" s="3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3">
        <v>0</v>
      </c>
      <c r="AQ74" s="4">
        <v>0</v>
      </c>
      <c r="AR74" s="4">
        <v>0</v>
      </c>
      <c r="AS74" s="4">
        <v>0</v>
      </c>
      <c r="AT74" s="4">
        <v>0</v>
      </c>
      <c r="AU74" s="3">
        <v>0</v>
      </c>
      <c r="AV74" s="4">
        <v>0</v>
      </c>
      <c r="AW74" s="4">
        <v>0</v>
      </c>
    </row>
    <row r="75" spans="1:49">
      <c r="A75" s="3">
        <v>73</v>
      </c>
      <c r="B75" s="3" t="s">
        <v>193</v>
      </c>
      <c r="C75" t="s">
        <v>194</v>
      </c>
      <c r="D75" s="3" t="s">
        <v>57</v>
      </c>
      <c r="E75" s="5">
        <v>30.0</v>
      </c>
      <c r="F75" s="6">
        <v>3240.0</v>
      </c>
      <c r="G75" s="4">
        <v>0</v>
      </c>
      <c r="H75" s="4">
        <v>0</v>
      </c>
      <c r="I75" s="4">
        <v>0</v>
      </c>
      <c r="J75" s="4">
        <v>0</v>
      </c>
      <c r="K75" s="5">
        <v>1.272726</v>
      </c>
      <c r="L75" s="6">
        <v>137.454408</v>
      </c>
      <c r="M75" s="7">
        <v>1.0</v>
      </c>
      <c r="N75" s="5">
        <v>1.0</v>
      </c>
      <c r="O75" s="5">
        <v>0.090909</v>
      </c>
      <c r="P75" s="4">
        <v>0</v>
      </c>
      <c r="Q75" s="4">
        <v>0</v>
      </c>
      <c r="R75" s="4">
        <v>0</v>
      </c>
      <c r="S75" s="4">
        <v>0</v>
      </c>
      <c r="T75" s="5">
        <v>0.166666</v>
      </c>
      <c r="U75" s="8" t="s">
        <v>46</v>
      </c>
      <c r="V75" s="6">
        <v>100.93</v>
      </c>
      <c r="W75" s="6">
        <v>100.93</v>
      </c>
      <c r="X75" s="6">
        <v>149.533</v>
      </c>
      <c r="Y75" s="6">
        <v>149.533</v>
      </c>
      <c r="Z75" s="6">
        <v>48.603</v>
      </c>
      <c r="AA75" s="6">
        <v>48.603</v>
      </c>
      <c r="AB75" s="9">
        <v>0.32503193275063</v>
      </c>
      <c r="AC75" s="5">
        <v>1.0</v>
      </c>
      <c r="AD75" s="4">
        <v>0</v>
      </c>
      <c r="AE75" s="4">
        <v>0</v>
      </c>
      <c r="AF75" s="4">
        <v>0</v>
      </c>
      <c r="AG75" s="3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3">
        <v>0</v>
      </c>
      <c r="AQ75" s="4">
        <v>0</v>
      </c>
      <c r="AR75" s="4">
        <v>0</v>
      </c>
      <c r="AS75" s="4">
        <v>0</v>
      </c>
      <c r="AT75" s="4">
        <v>0</v>
      </c>
      <c r="AU75" s="3">
        <v>0</v>
      </c>
      <c r="AV75" s="4">
        <v>0</v>
      </c>
      <c r="AW75" s="4">
        <v>0</v>
      </c>
    </row>
    <row r="76" spans="1:49">
      <c r="A76" s="3">
        <v>74</v>
      </c>
      <c r="B76" s="3" t="s">
        <v>195</v>
      </c>
      <c r="C76" t="s">
        <v>196</v>
      </c>
      <c r="D76" s="3" t="s">
        <v>45</v>
      </c>
      <c r="E76" s="5">
        <v>1.0</v>
      </c>
      <c r="F76" s="6">
        <v>1850.0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1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8" t="s">
        <v>46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>
        <v>0</v>
      </c>
      <c r="AC76" s="4">
        <v>0</v>
      </c>
      <c r="AD76" s="4">
        <v>0</v>
      </c>
      <c r="AE76" s="4">
        <v>0</v>
      </c>
      <c r="AF76" s="4">
        <v>0</v>
      </c>
      <c r="AG76" s="3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3">
        <v>0</v>
      </c>
      <c r="AQ76" s="4">
        <v>0</v>
      </c>
      <c r="AR76" s="4">
        <v>0</v>
      </c>
      <c r="AS76" s="4">
        <v>0</v>
      </c>
      <c r="AT76" s="4">
        <v>0</v>
      </c>
      <c r="AU76" s="3">
        <v>0</v>
      </c>
      <c r="AV76" s="4">
        <v>0</v>
      </c>
      <c r="AW76" s="4">
        <v>0</v>
      </c>
    </row>
    <row r="77" spans="1:49">
      <c r="A77" s="3">
        <v>75</v>
      </c>
      <c r="B77" s="3" t="s">
        <v>197</v>
      </c>
      <c r="C77" t="s">
        <v>198</v>
      </c>
      <c r="D77" s="3" t="s">
        <v>45</v>
      </c>
      <c r="E77" s="5">
        <v>4.0</v>
      </c>
      <c r="F77" s="6">
        <v>1079.992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1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8" t="s">
        <v>46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>
        <v>0</v>
      </c>
      <c r="AC77" s="4">
        <v>0</v>
      </c>
      <c r="AD77" s="4">
        <v>0</v>
      </c>
      <c r="AE77" s="4">
        <v>0</v>
      </c>
      <c r="AF77" s="4">
        <v>0</v>
      </c>
      <c r="AG77" s="3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3">
        <v>0</v>
      </c>
      <c r="AQ77" s="4">
        <v>0</v>
      </c>
      <c r="AR77" s="4">
        <v>0</v>
      </c>
      <c r="AS77" s="4">
        <v>0</v>
      </c>
      <c r="AT77" s="4">
        <v>0</v>
      </c>
      <c r="AU77" s="3">
        <v>0</v>
      </c>
      <c r="AV77" s="4">
        <v>0</v>
      </c>
      <c r="AW77" s="4">
        <v>0</v>
      </c>
    </row>
    <row r="78" spans="1:49">
      <c r="A78" s="3">
        <v>76</v>
      </c>
      <c r="B78" s="3" t="s">
        <v>199</v>
      </c>
      <c r="C78" t="s">
        <v>200</v>
      </c>
      <c r="D78" s="3" t="s">
        <v>45</v>
      </c>
      <c r="E78" s="5">
        <v>4.0</v>
      </c>
      <c r="F78" s="6">
        <v>2700.0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1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8" t="s">
        <v>46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>
        <v>0</v>
      </c>
      <c r="AC78" s="4">
        <v>0</v>
      </c>
      <c r="AD78" s="4">
        <v>0</v>
      </c>
      <c r="AE78" s="4">
        <v>0</v>
      </c>
      <c r="AF78" s="4">
        <v>0</v>
      </c>
      <c r="AG78" s="3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3">
        <v>0</v>
      </c>
      <c r="AQ78" s="4">
        <v>0</v>
      </c>
      <c r="AR78" s="4">
        <v>0</v>
      </c>
      <c r="AS78" s="4">
        <v>0</v>
      </c>
      <c r="AT78" s="4">
        <v>0</v>
      </c>
      <c r="AU78" s="3">
        <v>0</v>
      </c>
      <c r="AV78" s="4">
        <v>0</v>
      </c>
      <c r="AW78" s="4">
        <v>0</v>
      </c>
    </row>
    <row r="79" spans="1:49">
      <c r="A79" s="3">
        <v>77</v>
      </c>
      <c r="B79" s="3" t="s">
        <v>201</v>
      </c>
      <c r="C79" t="s">
        <v>202</v>
      </c>
      <c r="D79" s="3" t="s">
        <v>45</v>
      </c>
      <c r="E79" s="5">
        <v>36.0</v>
      </c>
      <c r="F79" s="6">
        <v>1980.0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1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8" t="s">
        <v>46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>
        <v>0</v>
      </c>
      <c r="AC79" s="4">
        <v>0</v>
      </c>
      <c r="AD79" s="4">
        <v>0</v>
      </c>
      <c r="AE79" s="4">
        <v>0</v>
      </c>
      <c r="AF79" s="4">
        <v>0</v>
      </c>
      <c r="AG79" s="3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3">
        <v>0</v>
      </c>
      <c r="AQ79" s="4">
        <v>0</v>
      </c>
      <c r="AR79" s="4">
        <v>0</v>
      </c>
      <c r="AS79" s="4">
        <v>0</v>
      </c>
      <c r="AT79" s="4">
        <v>0</v>
      </c>
      <c r="AU79" s="3">
        <v>0</v>
      </c>
      <c r="AV79" s="4">
        <v>0</v>
      </c>
      <c r="AW79" s="4">
        <v>0</v>
      </c>
    </row>
    <row r="80" spans="1:49">
      <c r="A80" s="3">
        <v>78</v>
      </c>
      <c r="B80" s="3" t="s">
        <v>203</v>
      </c>
      <c r="C80" t="s">
        <v>204</v>
      </c>
      <c r="D80" s="3" t="s">
        <v>57</v>
      </c>
      <c r="E80" s="5">
        <v>12.0</v>
      </c>
      <c r="F80" s="6">
        <v>816.012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1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8" t="s">
        <v>46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>
        <v>0</v>
      </c>
      <c r="AC80" s="4">
        <v>0</v>
      </c>
      <c r="AD80" s="4">
        <v>0</v>
      </c>
      <c r="AE80" s="4">
        <v>0</v>
      </c>
      <c r="AF80" s="4">
        <v>0</v>
      </c>
      <c r="AG80" s="3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3">
        <v>0</v>
      </c>
      <c r="AQ80" s="4">
        <v>0</v>
      </c>
      <c r="AR80" s="4">
        <v>0</v>
      </c>
      <c r="AS80" s="4">
        <v>0</v>
      </c>
      <c r="AT80" s="4">
        <v>0</v>
      </c>
      <c r="AU80" s="3">
        <v>0</v>
      </c>
      <c r="AV80" s="4">
        <v>0</v>
      </c>
      <c r="AW80" s="4">
        <v>0</v>
      </c>
    </row>
    <row r="81" spans="1:49">
      <c r="A81" s="3">
        <v>79</v>
      </c>
      <c r="B81" s="3" t="s">
        <v>205</v>
      </c>
      <c r="C81" t="s">
        <v>206</v>
      </c>
      <c r="D81" s="3" t="s">
        <v>57</v>
      </c>
      <c r="E81" s="5">
        <v>2.0</v>
      </c>
      <c r="F81" s="6">
        <v>847.8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1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8" t="s">
        <v>46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>
        <v>0</v>
      </c>
      <c r="AC81" s="4">
        <v>0</v>
      </c>
      <c r="AD81" s="4">
        <v>0</v>
      </c>
      <c r="AE81" s="4">
        <v>0</v>
      </c>
      <c r="AF81" s="4">
        <v>0</v>
      </c>
      <c r="AG81" s="3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3">
        <v>0</v>
      </c>
      <c r="AQ81" s="4">
        <v>0</v>
      </c>
      <c r="AR81" s="4">
        <v>0</v>
      </c>
      <c r="AS81" s="4">
        <v>0</v>
      </c>
      <c r="AT81" s="4">
        <v>0</v>
      </c>
      <c r="AU81" s="3">
        <v>0</v>
      </c>
      <c r="AV81" s="4">
        <v>0</v>
      </c>
      <c r="AW81" s="4">
        <v>0</v>
      </c>
    </row>
    <row r="82" spans="1:49">
      <c r="A82" s="3">
        <v>80</v>
      </c>
      <c r="B82" s="3" t="s">
        <v>207</v>
      </c>
      <c r="C82" t="s">
        <v>208</v>
      </c>
      <c r="D82" s="3" t="s">
        <v>57</v>
      </c>
      <c r="E82" s="5">
        <v>2.0</v>
      </c>
      <c r="F82" s="6">
        <v>788.4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1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8" t="s">
        <v>46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>
        <v>0</v>
      </c>
      <c r="AC82" s="4">
        <v>0</v>
      </c>
      <c r="AD82" s="4">
        <v>0</v>
      </c>
      <c r="AE82" s="4">
        <v>0</v>
      </c>
      <c r="AF82" s="4">
        <v>0</v>
      </c>
      <c r="AG82" s="3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3">
        <v>0</v>
      </c>
      <c r="AQ82" s="4">
        <v>0</v>
      </c>
      <c r="AR82" s="4">
        <v>0</v>
      </c>
      <c r="AS82" s="4">
        <v>0</v>
      </c>
      <c r="AT82" s="4">
        <v>0</v>
      </c>
      <c r="AU82" s="3">
        <v>0</v>
      </c>
      <c r="AV82" s="4">
        <v>0</v>
      </c>
      <c r="AW82" s="4">
        <v>0</v>
      </c>
    </row>
    <row r="83" spans="1:49">
      <c r="A83" s="3">
        <v>81</v>
      </c>
      <c r="B83" s="3" t="s">
        <v>209</v>
      </c>
      <c r="C83" t="s">
        <v>210</v>
      </c>
      <c r="D83" s="3" t="s">
        <v>45</v>
      </c>
      <c r="E83" s="4">
        <v>0</v>
      </c>
      <c r="F83" s="4">
        <v>0</v>
      </c>
      <c r="G83" s="4">
        <v>0</v>
      </c>
      <c r="H83" s="4">
        <v>0</v>
      </c>
      <c r="I83" s="5">
        <v>1.0</v>
      </c>
      <c r="J83" s="6">
        <v>2340.0</v>
      </c>
      <c r="K83" s="4">
        <v>0</v>
      </c>
      <c r="L83" s="4">
        <v>0</v>
      </c>
      <c r="M83" s="14">
        <v>0</v>
      </c>
      <c r="N83" s="4">
        <v>0</v>
      </c>
      <c r="O83" s="4">
        <v>0</v>
      </c>
      <c r="P83" s="5">
        <v>1.0</v>
      </c>
      <c r="Q83" s="5">
        <v>1.0</v>
      </c>
      <c r="R83" s="4">
        <v>0</v>
      </c>
      <c r="S83" s="4">
        <v>0</v>
      </c>
      <c r="T83" s="5">
        <v>0.166666</v>
      </c>
      <c r="U83" s="8" t="s">
        <v>46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>
        <v>0</v>
      </c>
      <c r="AC83" s="4">
        <v>0</v>
      </c>
      <c r="AD83" s="4">
        <v>0</v>
      </c>
      <c r="AE83" s="4">
        <v>0</v>
      </c>
      <c r="AF83" s="4">
        <v>0</v>
      </c>
      <c r="AG83" s="3">
        <v>0</v>
      </c>
      <c r="AH83" s="4">
        <v>0</v>
      </c>
      <c r="AI83" s="4">
        <v>0</v>
      </c>
      <c r="AJ83" s="6">
        <v>2186.92</v>
      </c>
      <c r="AK83" s="6">
        <v>2186.92</v>
      </c>
      <c r="AL83" s="6">
        <v>2794.393</v>
      </c>
      <c r="AM83" s="6">
        <v>2794.393</v>
      </c>
      <c r="AN83" s="6">
        <v>607.473</v>
      </c>
      <c r="AO83" s="6">
        <v>607.473</v>
      </c>
      <c r="AP83" s="10">
        <v>0.21738996626459</v>
      </c>
      <c r="AQ83" s="5">
        <v>1.0</v>
      </c>
      <c r="AR83" s="4">
        <v>0</v>
      </c>
      <c r="AS83" s="4">
        <v>0</v>
      </c>
      <c r="AT83" s="4">
        <v>0</v>
      </c>
      <c r="AU83" s="3">
        <v>0</v>
      </c>
      <c r="AV83" s="4">
        <v>0</v>
      </c>
      <c r="AW83" s="4">
        <v>0</v>
      </c>
    </row>
    <row r="84" spans="1:49">
      <c r="A84" s="1" t="s">
        <v>211</v>
      </c>
      <c r="B84" s="1"/>
      <c r="C84" s="1"/>
      <c r="D84" s="1"/>
      <c r="E84" s="1"/>
      <c r="F84" s="16">
        <f>SUM(F3:F84)</f>
        <v>114140.862</v>
      </c>
      <c r="G84" s="1"/>
      <c r="H84" s="16">
        <f>SUM(H3:H84)</f>
        <v>117645.445</v>
      </c>
      <c r="I84" s="1"/>
      <c r="J84" s="16">
        <f>SUM(J3:J84)</f>
        <v>10036.8</v>
      </c>
      <c r="K84" s="1"/>
      <c r="L84" s="16">
        <f>SUM(L3:L84)</f>
        <v>197602.752731</v>
      </c>
      <c r="M84" s="1"/>
      <c r="N84" s="1"/>
      <c r="O84" s="1"/>
      <c r="P84" s="1"/>
      <c r="Q84" s="1"/>
      <c r="R84" s="1"/>
      <c r="S84" s="16">
        <f>SUM(S3:S84)</f>
        <v>1462.05</v>
      </c>
      <c r="T84" s="1"/>
      <c r="U84" s="1"/>
      <c r="V84" s="16">
        <f>SUM(V3:V84)</f>
        <v>144313.454</v>
      </c>
      <c r="W84" s="1"/>
      <c r="X84" s="16">
        <f>SUM(X3:X84)</f>
        <v>205926.884</v>
      </c>
      <c r="Y84" s="1"/>
      <c r="Z84" s="16">
        <f>SUM(Z3:Z84)</f>
        <v>61613.43</v>
      </c>
      <c r="AA84" s="1"/>
      <c r="AB84" s="1"/>
      <c r="AC84" s="1"/>
      <c r="AD84" s="1"/>
      <c r="AE84" s="1"/>
      <c r="AF84" s="16">
        <f>SUM(AF3:AF84)</f>
        <v>0</v>
      </c>
      <c r="AG84" s="1"/>
      <c r="AH84" s="1"/>
      <c r="AI84" s="16">
        <f>SUM(AI3:AI84)</f>
        <v>0</v>
      </c>
      <c r="AJ84" s="16">
        <f>SUM(AJ3:V84)</f>
        <v>1039012.7488512</v>
      </c>
      <c r="AK84" s="1"/>
      <c r="AL84" s="16">
        <f>SUM(AL3:AL84)</f>
        <v>18258.964</v>
      </c>
      <c r="AM84" s="1"/>
      <c r="AN84" s="16">
        <f>SUM(AN3:AN84)</f>
        <v>5353.244</v>
      </c>
      <c r="AO84" s="1"/>
      <c r="AP84" s="1"/>
      <c r="AQ84" s="1"/>
      <c r="AR84" s="1"/>
      <c r="AS84" s="1"/>
      <c r="AT84" s="16">
        <f>SUM(AT3:AT84)</f>
        <v>0</v>
      </c>
      <c r="AU84" s="1"/>
      <c r="AV84" s="1"/>
      <c r="AW84" s="16">
        <f>SUM(AW3:AW84)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84:D8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"/>
  <sheetViews>
    <sheetView tabSelected="0" workbookViewId="0" showGridLines="true" showRowColHeaders="1">
      <pane ySplit="1" topLeftCell="A2" activePane="bottomLeft" state="frozen"/>
      <selection pane="bottomLeft" activeCell="A1" sqref="A1:AJ1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212</v>
      </c>
      <c r="C1" s="1" t="s">
        <v>213</v>
      </c>
      <c r="D1" s="1" t="s">
        <v>214</v>
      </c>
      <c r="E1" s="1" t="s">
        <v>215</v>
      </c>
      <c r="F1" s="1" t="s">
        <v>1</v>
      </c>
      <c r="G1" s="1" t="s">
        <v>2</v>
      </c>
      <c r="H1" s="1" t="s">
        <v>216</v>
      </c>
      <c r="I1" s="1" t="s">
        <v>217</v>
      </c>
      <c r="J1" s="1" t="s">
        <v>218</v>
      </c>
      <c r="K1" s="1" t="s">
        <v>219</v>
      </c>
      <c r="L1" s="1" t="s">
        <v>220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2024-02-14T08:50:04+07:00</dcterms:created>
  <dcterms:modified xsi:type="dcterms:W3CDTF">2024-02-14T08:50:04+07:00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