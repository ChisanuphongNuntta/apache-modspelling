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<sst xmlns="http://schemas.openxmlformats.org/spreadsheetml/2006/main" uniqueCount="290">
  <si>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</si>
  <si>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</si>
  <si>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</si>
  <si>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</si>
  <si>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</si>
  <si>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</si>
  <si>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</si>
  <si>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</si>
  <si>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</si>
  <si>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</si>
  <si>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</si>
  <si>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</si>
  <si>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</si>
  <si>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</si>
  <si>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</si>
  <si>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19/03/2024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</si>
  <si>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</si>
  <si>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</si>
  <si>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</si>
  <si>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</si>
  <si>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</si>
  <si>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</si>
  <si>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</si>
  <si>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</si>
  <si>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</si>
  <si>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</si>
  <si>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</si>
  <si>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</si>
  <si>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</si>
  <si>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</si>
  <si>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</si>
  <si>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</si>
  <si>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</si>
  <si>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</si>
  <si>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</si>
  <si>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</si>
  <si>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</si>
  <si>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</si>
  <si>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</si>
  <si>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</si>
  <si>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</si>
  <si>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</si>
  <si>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</si>
  <si>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07-450-109</t>
  </si>
  <si>
    <t>แบตเตอรี่ตัดหญ้าไร้สาย 21V. EUROX</t>
  </si>
  <si>
    <t>W</t>
  </si>
  <si>
    <t>34-101-020</t>
  </si>
  <si>
    <t>ใบมีดตัดหญ้าพลาสติก 5.5" (5pcs./แพ็ค)</t>
  </si>
  <si>
    <t>A</t>
  </si>
  <si>
    <t>34-914-001</t>
  </si>
  <si>
    <t>สายชาร์จแบตเตอรี่ 21V. (5cell/10cell)</t>
  </si>
  <si>
    <t>M</t>
  </si>
  <si>
    <t>DEAD</t>
  </si>
  <si>
    <t>92-667-411</t>
  </si>
  <si>
    <t>สายชาร์จเลเซอร์ (EL-510 II , GL-5 II)</t>
  </si>
  <si>
    <t>07-450-115</t>
  </si>
  <si>
    <t>แท่นชาร์จแบตเตอรี่ตัดหญ้าไร้สาย 21V. EUROX</t>
  </si>
  <si>
    <t>88-511-160</t>
  </si>
  <si>
    <t>สวิตซ์ 2-26 B/(T) (A7)</t>
  </si>
  <si>
    <t>88-511-111</t>
  </si>
  <si>
    <t>สวิตช์ MT-651,603/(T)</t>
  </si>
  <si>
    <t>34-900-006</t>
  </si>
  <si>
    <t>มอเตอร์ เครื่องตัดหญ้าไร้สาย 21V</t>
  </si>
  <si>
    <t>99-998-151</t>
  </si>
  <si>
    <t>แบตเตอรี่ลิเธียมเลเซอร์วัดระดับ 3.7 V (EL-510II,GL-5II)</t>
  </si>
  <si>
    <t>92-667-314</t>
  </si>
  <si>
    <t>ขาตั้งเลเซอร์วัดระดับ EUROX SGL-5 II  (รุ่นแสงสีเขียว)</t>
  </si>
  <si>
    <t>34-101-110</t>
  </si>
  <si>
    <t>ใบมีดตัดหญ้า 8" (1.6 มม.) ทรงมะละกอ</t>
  </si>
  <si>
    <t>34-907-005</t>
  </si>
  <si>
    <t>อะไหล่สว่านกระแทกไร้สาย 21V. EU 1B แบตเตอรี่</t>
  </si>
  <si>
    <t>D22</t>
  </si>
  <si>
    <t>88-511-215</t>
  </si>
  <si>
    <t>สวิตช์ MT902</t>
  </si>
  <si>
    <t>34-903-007</t>
  </si>
  <si>
    <t>EU150 ปืนฉีดน้ำสั้น</t>
  </si>
  <si>
    <t>88-511-130</t>
  </si>
  <si>
    <t>สวิตซ์ 9500N</t>
  </si>
  <si>
    <t>34-101-035</t>
  </si>
  <si>
    <t>ใบมีดตัดหญ้าพลาสติก 8" BL (แกนใหญ่)</t>
  </si>
  <si>
    <t>88-511-145</t>
  </si>
  <si>
    <t>สวิตซ์ 1600 M/(T) (A8)</t>
  </si>
  <si>
    <t>34-101-115</t>
  </si>
  <si>
    <t>ใบมีดตัดหญ้า 8" BL (แกนใหญ่)</t>
  </si>
  <si>
    <t>88-511-205</t>
  </si>
  <si>
    <t>สวิตช์ MT814,1630</t>
  </si>
  <si>
    <t>88-511-190</t>
  </si>
  <si>
    <t>สวิตซ์ GBH2SE</t>
  </si>
  <si>
    <t>34-903-005</t>
  </si>
  <si>
    <t>EU150 หัวฉีดน้ำ</t>
  </si>
  <si>
    <t>34-903-004</t>
  </si>
  <si>
    <t>EU150 กระบอกฉีดโฟม</t>
  </si>
  <si>
    <t>88-511-135</t>
  </si>
  <si>
    <t>สวิตซ์ 6501</t>
  </si>
  <si>
    <t>88-511-180</t>
  </si>
  <si>
    <t>สวิตซ์ MT580</t>
  </si>
  <si>
    <t>34-903-012</t>
  </si>
  <si>
    <t>EU150 สายน้ำเข้า 2 เมตร</t>
  </si>
  <si>
    <t>88-511-165</t>
  </si>
  <si>
    <t>สวิตซ์ แท่นตัด 14" จีน มีล็อก/(T) (A5)</t>
  </si>
  <si>
    <t>88-511-175</t>
  </si>
  <si>
    <t>สวิตซ์ HM 0810 (A9)</t>
  </si>
  <si>
    <t>88-511-195</t>
  </si>
  <si>
    <t>สวิตซ์ PH65A (A21)</t>
  </si>
  <si>
    <t>34-910-005</t>
  </si>
  <si>
    <t>อะไหล่เลื่อยชักไร้สาย 21V. (EU) มอเตอร์</t>
  </si>
  <si>
    <t>99-998-155</t>
  </si>
  <si>
    <t>แบตเตอรี่เลเซอร์วัดระดับ PITA GL-16</t>
  </si>
  <si>
    <t>34-903-008</t>
  </si>
  <si>
    <t>EU150 ตัวกรองน้ำเข้า</t>
  </si>
  <si>
    <t>34-903-011</t>
  </si>
  <si>
    <t>EU150 ข้อต่อสวมเร็ว</t>
  </si>
  <si>
    <t>34-900-610</t>
  </si>
  <si>
    <t>บังใบเครื่องตัดหญ้าไร้สาย 21V. (ไร้แปรงถ่าน)</t>
  </si>
  <si>
    <t>34-912-001</t>
  </si>
  <si>
    <t>CS5800CP ชุดลานสตาร์ท</t>
  </si>
  <si>
    <t>34-903-009</t>
  </si>
  <si>
    <t>EU150 ข้อต่อสวมก๊อก</t>
  </si>
  <si>
    <t>88-511-220</t>
  </si>
  <si>
    <t>สวิตช์ C-7 เลื่อย 7"</t>
  </si>
  <si>
    <t>34-910-006</t>
  </si>
  <si>
    <t>อะไหล่เลื่อยชักไร้สาย 21V. (EU) ชุดเกียร์</t>
  </si>
  <si>
    <t>88-511-185</t>
  </si>
  <si>
    <t>สวิตซ์ GWS6-100</t>
  </si>
  <si>
    <t>34-903-010</t>
  </si>
  <si>
    <t>EU150 ข้อต่อน้ำเข้า</t>
  </si>
  <si>
    <t>34-101-052</t>
  </si>
  <si>
    <t>ใบตัดหญ้าวงเดือน 8" (ตัดหญ้าแบต 21V.)</t>
  </si>
  <si>
    <t>34-913-001</t>
  </si>
  <si>
    <t>สายชาร์จเจียร์ไร้สาย 21V. (Slimbody)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</si>
  <si>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</si>
  <si>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</si>
  <si>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</si>
  <si>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</si>
  <si>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99-998-154</t>
  </si>
  <si>
    <t>แบตเตอรี่เลเซอร์วัดระดับ GZ-5</t>
  </si>
  <si>
    <t>92-667-412</t>
  </si>
  <si>
    <t>สายชาร์จเลเซอร์ GZ-5</t>
  </si>
  <si>
    <t>07-450-108</t>
  </si>
  <si>
    <t>แบตเตอรี่ตัดหญ้าไร้สาย 12V. EUROX</t>
  </si>
  <si>
    <t>D21</t>
  </si>
  <si>
    <t>07-450-150</t>
  </si>
  <si>
    <t>แบตเตอรี่สว่านไร้สาย 21V PITA</t>
  </si>
  <si>
    <t>D24</t>
  </si>
  <si>
    <t>07-450-151</t>
  </si>
  <si>
    <t>แท่นชาร์จสว่านกระแทกไร้สาย 21V PITA</t>
  </si>
  <si>
    <t>09-092-602</t>
  </si>
  <si>
    <t>ขาตั้งเลเซอร์วัดระดับ EUROX PL-V5</t>
  </si>
  <si>
    <t>33-903-503</t>
  </si>
  <si>
    <t>แปรงถ่าน (เครื่องฉีดน้ำไร้สาย EUROX 21V 1B)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</si>
  <si>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</si>
  <si>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</si>
  <si>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</si>
  <si>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</si>
  <si>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</si>
  <si>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</si>
  <si>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</si>
  <si>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</si>
  <si>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34-101-060</t>
  </si>
  <si>
    <t>แบตเตอรี่ 21V. ตัดหญ้าไร้สาย (ไร้แปรงถ่าน)</t>
  </si>
  <si>
    <t>34-103-003</t>
  </si>
  <si>
    <t>มอเตอร์เครื่องสับต้นกล้วยขนาดเล็ก EUROX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</si>
  <si>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</si>
  <si>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</si>
  <si>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</si>
  <si>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</si>
  <si>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</si>
  <si>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</si>
  <si>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</si>
  <si>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</si>
  <si>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34-900-611</t>
  </si>
  <si>
    <t>มอเตอร์เครื่องตัดหญ้าไร้สาย 21V. (ไร้แปรงถ่าน)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</si>
  <si>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</si>
  <si>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</si>
  <si>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</si>
  <si>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</si>
  <si>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</si>
  <si>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</si>
  <si>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</si>
  <si>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</si>
  <si>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</si>
  <si>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</si>
  <si>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</si>
  <si>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</si>
  <si>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</si>
  <si>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</si>
  <si>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</si>
  <si>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</si>
  <si>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88-511-115</t>
  </si>
  <si>
    <t>สวิตช์ 2414B M/(T)</t>
  </si>
  <si>
    <t>88-511-210</t>
  </si>
  <si>
    <t>สวิตช์ MT817</t>
  </si>
  <si>
    <t>92-667-321</t>
  </si>
  <si>
    <t>ขาตั้งเลเซอร์วัดระดับ EUROX GT-51</t>
  </si>
  <si>
    <t>92-667-414</t>
  </si>
  <si>
    <t>สายชาร์จเลเซอร์ GL-503</t>
  </si>
  <si>
    <t>98-850-001</t>
  </si>
  <si>
    <t>ชุดใบขัด 3 ชิ้น</t>
  </si>
  <si>
    <t>P</t>
  </si>
  <si>
    <t>99-992-050</t>
  </si>
  <si>
    <t>ชุดไขควงพกพา EUROX</t>
  </si>
  <si>
    <t>K</t>
  </si>
  <si>
    <t>99-998-150</t>
  </si>
  <si>
    <t>แบตเตอรี่ลิเธียมเลเซอร์วัดระดับ 3.7 V</t>
  </si>
  <si>
    <t>99-998-153</t>
  </si>
  <si>
    <t>แบตเตอรี่เลเซอร์วัดระดับ GL-503</t>
  </si>
  <si>
    <t>ZZ-000-363</t>
  </si>
  <si>
    <t>แบตเตอรี่ลิเธียมเลเซอร์วัดระดับ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</si>
  <si>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</si>
  <si>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</si>
  <si>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</si>
  <si>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</si>
  <si>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</si>
  <si>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</si>
  <si>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</si>
  <si>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</si>
  <si>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</si>
  <si>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</si>
  <si>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</si>
  <si>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PE-66041003</t>
  </si>
  <si>
    <t>C-11198 - จ.เจริญรุ่งเรือง ทูลส์ แอนด์ เทรดดิ้ง(ห้ามขาย)</t>
  </si>
  <si>
    <t>WP4</t>
  </si>
  <si>
    <t>ตัว</t>
  </si>
  <si>
    <t>ชำรุดจากโรงงาน</t>
  </si>
  <si>
    <t>แบตเสื่อมสภาพ</t>
  </si>
  <si>
    <t>ฝ่ายขายร้านค้า ตจว.</t>
  </si>
  <si>
    <t>PN-67014047</t>
  </si>
  <si>
    <t>A-00270 - สมยศ สุขสาคร (กบ)</t>
  </si>
  <si>
    <t>PCS</t>
  </si>
  <si>
    <t>สินค้าชำรุดสภาพดี AX</t>
  </si>
  <si>
    <t>ฝ่ายขายโมเดิร์นเทรด 1</t>
  </si>
  <si>
    <t>PN-66014020</t>
  </si>
  <si>
    <t>M-00363 - ดูโฮม - มาบตาพุด</t>
  </si>
  <si>
    <t>อัน</t>
  </si>
  <si>
    <t>แบตเสื่อมชาร์จไม่เข้า</t>
  </si>
  <si>
    <t>PE-66031043</t>
  </si>
  <si>
    <t>M-00382 - ตั้งเชียงล้ง</t>
  </si>
  <si>
    <t>ฝ่ายขายออนไลน์</t>
  </si>
  <si>
    <t>PN-66054026</t>
  </si>
  <si>
    <t>W-05593 - ณัฐวุฒิ ปทุมวัน</t>
  </si>
  <si>
    <t>แบตเเสื่อมสภาพ</t>
  </si>
  <si>
    <t>RN-66062062</t>
  </si>
  <si>
    <t>แบตเสื่อม</t>
  </si>
  <si>
    <t>PN-66064036</t>
  </si>
  <si>
    <t>PE-66121007</t>
  </si>
  <si>
    <t>C-02786 - คลองถม 4 กาญจนบุรี</t>
  </si>
  <si>
    <t>แบตเสื่อมสภาพ ชาร์จไฟไม่เข้า</t>
  </si>
  <si>
    <t>PN-67024038</t>
  </si>
  <si>
    <t>M-00409 - ดูโฮม-สุราษฎร์ธานี</t>
  </si>
  <si>
    <t>PE-67021028</t>
  </si>
  <si>
    <t>C-00369 - พะเยานำไพศาล</t>
  </si>
  <si>
    <t>แบตเสื่อมสภาพชาร์จไม่เข้า</t>
  </si>
  <si>
    <t>PN-66044001</t>
  </si>
  <si>
    <t>ช็อต เสียเปิดไม่ติด</t>
  </si>
  <si>
    <t>PE-66081023</t>
  </si>
  <si>
    <t>M-00264 - วิรัชวัสดุก่อสร้าง(SM TT PC)</t>
  </si>
  <si>
    <t>แท่นชาร์จเสีย</t>
  </si>
  <si>
    <t>PN-66034033</t>
  </si>
  <si>
    <t>C-10710 - บ้านสีลม ซัพพลาย</t>
  </si>
  <si>
    <t>แบตเสื่อม ชาร์จไม่เข้า</t>
  </si>
  <si>
    <t>PE-67031005</t>
  </si>
  <si>
    <t>C-00966 - เสรีภัณฑ์ เพาเวอร์ทูลส์</t>
  </si>
  <si>
    <t>PE-66031002</t>
  </si>
  <si>
    <t>C-12309 - พี.โอ.วัสดุก่อสร้าง 1997(SM PC)</t>
  </si>
  <si>
    <t>เสีย ชาร์จไม่เข้า</t>
  </si>
  <si>
    <t>PE-66051010</t>
  </si>
  <si>
    <t>บอร์ดวงจรเสีย</t>
  </si>
  <si>
    <t>PE-66051012</t>
  </si>
  <si>
    <t>C-07669 - ปอแซ สตีล</t>
  </si>
  <si>
    <t>บอร์ดจอเสีย</t>
  </si>
  <si>
    <t>PE-66051044</t>
  </si>
  <si>
    <t>C-10862 - ห้างบริบูรณ์พาณิชย์</t>
  </si>
  <si>
    <t>PE-67031008</t>
  </si>
  <si>
    <t>C-03855 - เมธีกุล (แปดริ้ว)</t>
  </si>
  <si>
    <t>PE-67031006</t>
  </si>
  <si>
    <t>C-00751 - อำนวยพร 2</t>
  </si>
  <si>
    <t>PE-66121019</t>
  </si>
  <si>
    <t>C-10082 - มนตรีแมชชินทูลส์ จำกัด(สำนักงานใหญ่)</t>
  </si>
  <si>
    <t>PN-67014005</t>
  </si>
  <si>
    <t>A-00433 - มาริษา สามารถกุล</t>
  </si>
  <si>
    <t>RN-66092049</t>
  </si>
  <si>
    <t>C-12061 - น.สหะกิจ</t>
  </si>
  <si>
    <t>เสีย</t>
  </si>
  <si>
    <t>PN-66124065</t>
  </si>
  <si>
    <t>M-00108 - นพดลพานิช -สำนักงานใหญ่</t>
  </si>
  <si>
    <t>บอร์ดเสียและมีอุปกรณ์หลุดด้านใน</t>
  </si>
  <si>
    <t>ฝ่ายขายหน้าร้าน</t>
  </si>
  <si>
    <t>RN-67012123</t>
  </si>
  <si>
    <t>C-99999 - ขายปลีก</t>
  </si>
  <si>
    <t>Adapter ชาร์จแบตเสีย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</si>
</sst>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1" sqref="AW8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580.0</v>
      </c>
      <c r="F3" s="5">
        <v>201790.0</v>
      </c>
      <c r="G3" s="4">
        <v>430.0</v>
      </c>
      <c r="H3" s="5">
        <v>150500.0</v>
      </c>
      <c r="I3" s="6">
        <v>0</v>
      </c>
      <c r="J3" s="6">
        <v>0</v>
      </c>
      <c r="K3" s="4">
        <v>689.818178</v>
      </c>
      <c r="L3" s="5">
        <v>241436.3623</v>
      </c>
      <c r="M3" s="7">
        <v>0.37664733445166</v>
      </c>
      <c r="N3" s="4">
        <v>556.0</v>
      </c>
      <c r="O3" s="4">
        <v>49.272727</v>
      </c>
      <c r="P3" s="4">
        <v>29.0</v>
      </c>
      <c r="Q3" s="4">
        <v>14.5</v>
      </c>
      <c r="R3" s="4">
        <v>20.0</v>
      </c>
      <c r="S3" s="5">
        <v>7000.0</v>
      </c>
      <c r="T3" s="4">
        <v>85.166666</v>
      </c>
      <c r="U3" s="8">
        <v>0.23483366132942</v>
      </c>
      <c r="V3" s="5">
        <v>194182.513</v>
      </c>
      <c r="W3" s="5">
        <v>349.24912410072</v>
      </c>
      <c r="X3" s="5">
        <v>294385.765</v>
      </c>
      <c r="Y3" s="5">
        <v>529.47080035971</v>
      </c>
      <c r="Z3" s="5">
        <v>100203.252</v>
      </c>
      <c r="AA3" s="5">
        <v>180.22167625899</v>
      </c>
      <c r="AB3" s="9">
        <v>0.34038076535392</v>
      </c>
      <c r="AC3" s="4">
        <v>556.0</v>
      </c>
      <c r="AD3" s="4">
        <v>10.0</v>
      </c>
      <c r="AE3" s="6">
        <v>0</v>
      </c>
      <c r="AF3" s="6">
        <v>0</v>
      </c>
      <c r="AG3" s="3">
        <v>0</v>
      </c>
      <c r="AH3" s="4">
        <v>3.0</v>
      </c>
      <c r="AI3" s="5">
        <v>1050.0</v>
      </c>
      <c r="AJ3" s="5">
        <v>10150.0</v>
      </c>
      <c r="AK3" s="5">
        <v>350.0</v>
      </c>
      <c r="AL3" s="5">
        <v>17997.669</v>
      </c>
      <c r="AM3" s="5">
        <v>620.60927586207</v>
      </c>
      <c r="AN3" s="5">
        <v>7847.669</v>
      </c>
      <c r="AO3" s="5">
        <v>270.60927586207</v>
      </c>
      <c r="AP3" s="9">
        <v>0.43603807804222</v>
      </c>
      <c r="AQ3" s="4">
        <v>29.0</v>
      </c>
      <c r="AR3" s="4">
        <v>2.0</v>
      </c>
      <c r="AS3" s="6">
        <v>0</v>
      </c>
      <c r="AT3" s="6">
        <v>0</v>
      </c>
      <c r="AU3" s="3">
        <v>0</v>
      </c>
      <c r="AV3" s="4">
        <v>3.0</v>
      </c>
      <c r="AW3" s="5">
        <v>1050.0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680.0</v>
      </c>
      <c r="F4" s="5">
        <v>40800.0</v>
      </c>
      <c r="G4" s="4">
        <v>1050.0</v>
      </c>
      <c r="H4" s="5">
        <v>63000.0</v>
      </c>
      <c r="I4" s="6">
        <v>0</v>
      </c>
      <c r="J4" s="6">
        <v>0</v>
      </c>
      <c r="K4" s="4">
        <v>188.36363</v>
      </c>
      <c r="L4" s="5">
        <v>11301.8178</v>
      </c>
      <c r="M4" s="10">
        <v>-4.5743245126461</v>
      </c>
      <c r="N4" s="4">
        <v>146.0</v>
      </c>
      <c r="O4" s="4">
        <v>13.454545</v>
      </c>
      <c r="P4" s="6">
        <v>0</v>
      </c>
      <c r="Q4" s="6">
        <v>0</v>
      </c>
      <c r="R4" s="4">
        <v>332.0</v>
      </c>
      <c r="S4" s="5">
        <v>19920.0</v>
      </c>
      <c r="T4" s="4">
        <v>23.5</v>
      </c>
      <c r="U4" s="11">
        <v>14.127659574468</v>
      </c>
      <c r="V4" s="5">
        <v>8760.0</v>
      </c>
      <c r="W4" s="5">
        <v>60.0</v>
      </c>
      <c r="X4" s="5">
        <v>13728.909</v>
      </c>
      <c r="Y4" s="5">
        <v>94.033623287671</v>
      </c>
      <c r="Z4" s="5">
        <v>4968.909</v>
      </c>
      <c r="AA4" s="5">
        <v>34.033623287671</v>
      </c>
      <c r="AB4" s="9">
        <v>0.36193036169152</v>
      </c>
      <c r="AC4" s="4">
        <v>146.0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6">
        <v>0</v>
      </c>
      <c r="F5" s="6">
        <v>0</v>
      </c>
      <c r="G5" s="4">
        <v>200.0</v>
      </c>
      <c r="H5" s="5">
        <v>27800.0</v>
      </c>
      <c r="I5" s="6">
        <v>0</v>
      </c>
      <c r="J5" s="6">
        <v>0</v>
      </c>
      <c r="K5" s="6">
        <v>0</v>
      </c>
      <c r="L5" s="6">
        <v>0</v>
      </c>
      <c r="M5" s="12">
        <v>0</v>
      </c>
      <c r="N5" s="6">
        <v>0</v>
      </c>
      <c r="O5" s="6">
        <v>0</v>
      </c>
      <c r="P5" s="6">
        <v>0</v>
      </c>
      <c r="Q5" s="6">
        <v>0</v>
      </c>
      <c r="R5" s="4">
        <v>150.0</v>
      </c>
      <c r="S5" s="5">
        <v>20850.0</v>
      </c>
      <c r="T5" s="6">
        <v>0</v>
      </c>
      <c r="U5" s="13" t="s">
        <v>52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3">
        <v>0</v>
      </c>
      <c r="AC5" s="6">
        <v>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53</v>
      </c>
      <c r="C6" t="s">
        <v>54</v>
      </c>
      <c r="D6" s="3" t="s">
        <v>48</v>
      </c>
      <c r="E6" s="4">
        <v>131.0</v>
      </c>
      <c r="F6" s="5">
        <v>6550.0</v>
      </c>
      <c r="G6" s="4">
        <v>300.0</v>
      </c>
      <c r="H6" s="5">
        <v>15000.0</v>
      </c>
      <c r="I6" s="4">
        <v>10.0</v>
      </c>
      <c r="J6" s="5">
        <v>500.0</v>
      </c>
      <c r="K6" s="4">
        <v>334.72726</v>
      </c>
      <c r="L6" s="5">
        <v>16736.363</v>
      </c>
      <c r="M6" s="7">
        <v>0.10374792898553</v>
      </c>
      <c r="N6" s="4">
        <v>267.0</v>
      </c>
      <c r="O6" s="4">
        <v>23.90909</v>
      </c>
      <c r="P6" s="4">
        <v>53.0</v>
      </c>
      <c r="Q6" s="4">
        <v>25.5</v>
      </c>
      <c r="R6" s="6">
        <v>0</v>
      </c>
      <c r="S6" s="6">
        <v>0</v>
      </c>
      <c r="T6" s="4">
        <v>48.166666</v>
      </c>
      <c r="U6" s="13" t="s">
        <v>52</v>
      </c>
      <c r="V6" s="5">
        <v>13350.0</v>
      </c>
      <c r="W6" s="5">
        <v>50.0</v>
      </c>
      <c r="X6" s="5">
        <v>31219.806</v>
      </c>
      <c r="Y6" s="5">
        <v>116.92811235955</v>
      </c>
      <c r="Z6" s="5">
        <v>17869.806</v>
      </c>
      <c r="AA6" s="5">
        <v>66.928112359551</v>
      </c>
      <c r="AB6" s="9">
        <v>0.57238683674075</v>
      </c>
      <c r="AC6" s="4">
        <v>267.0</v>
      </c>
      <c r="AD6" s="4">
        <v>1.0</v>
      </c>
      <c r="AE6" s="6">
        <v>0</v>
      </c>
      <c r="AF6" s="6">
        <v>0</v>
      </c>
      <c r="AG6" s="3">
        <v>0</v>
      </c>
      <c r="AH6" s="4">
        <v>1.0</v>
      </c>
      <c r="AI6" s="5">
        <v>50.0</v>
      </c>
      <c r="AJ6" s="5">
        <v>2650.0</v>
      </c>
      <c r="AK6" s="5">
        <v>50.0</v>
      </c>
      <c r="AL6" s="5">
        <v>6065.433</v>
      </c>
      <c r="AM6" s="5">
        <v>114.44213207547</v>
      </c>
      <c r="AN6" s="5">
        <v>3415.433</v>
      </c>
      <c r="AO6" s="5">
        <v>64.442132075472</v>
      </c>
      <c r="AP6" s="9">
        <v>0.56309796843853</v>
      </c>
      <c r="AQ6" s="4">
        <v>53.0</v>
      </c>
      <c r="AR6" s="4">
        <v>1.0</v>
      </c>
      <c r="AS6" s="6">
        <v>0</v>
      </c>
      <c r="AT6" s="6">
        <v>0</v>
      </c>
      <c r="AU6" s="3">
        <v>0</v>
      </c>
      <c r="AV6" s="4">
        <v>1.0</v>
      </c>
      <c r="AW6" s="5">
        <v>50.0</v>
      </c>
    </row>
    <row r="7" spans="1:49">
      <c r="A7" s="3">
        <v>5</v>
      </c>
      <c r="B7" s="3" t="s">
        <v>55</v>
      </c>
      <c r="C7" t="s">
        <v>56</v>
      </c>
      <c r="D7" s="3" t="s">
        <v>51</v>
      </c>
      <c r="E7" s="4">
        <v>48.0</v>
      </c>
      <c r="F7" s="5">
        <v>4080.0</v>
      </c>
      <c r="G7" s="4">
        <v>165.0</v>
      </c>
      <c r="H7" s="5">
        <v>14025.0</v>
      </c>
      <c r="I7" s="6">
        <v>0</v>
      </c>
      <c r="J7" s="6">
        <v>0</v>
      </c>
      <c r="K7" s="4">
        <v>225.272726</v>
      </c>
      <c r="L7" s="5">
        <v>19148.18171</v>
      </c>
      <c r="M7" s="7">
        <v>0.26755447528078</v>
      </c>
      <c r="N7" s="4">
        <v>179.0</v>
      </c>
      <c r="O7" s="4">
        <v>16.090909</v>
      </c>
      <c r="P7" s="4">
        <v>41.0</v>
      </c>
      <c r="Q7" s="4">
        <v>17.5</v>
      </c>
      <c r="R7" s="4">
        <v>4.0</v>
      </c>
      <c r="S7" s="5">
        <v>340.0</v>
      </c>
      <c r="T7" s="4">
        <v>32.666666</v>
      </c>
      <c r="U7" s="8">
        <v>0.1224489820908</v>
      </c>
      <c r="V7" s="5">
        <v>14970.0</v>
      </c>
      <c r="W7" s="5">
        <v>83.631284916201</v>
      </c>
      <c r="X7" s="5">
        <v>30586.877</v>
      </c>
      <c r="Y7" s="5">
        <v>170.87640782123</v>
      </c>
      <c r="Z7" s="5">
        <v>15616.877</v>
      </c>
      <c r="AA7" s="5">
        <v>87.245122905028</v>
      </c>
      <c r="AB7" s="9">
        <v>0.51057442052682</v>
      </c>
      <c r="AC7" s="4">
        <v>179.0</v>
      </c>
      <c r="AD7" s="4">
        <v>3.0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3485.0</v>
      </c>
      <c r="AK7" s="5">
        <v>85.0</v>
      </c>
      <c r="AL7" s="5">
        <v>6674.671</v>
      </c>
      <c r="AM7" s="5">
        <v>162.79685365854</v>
      </c>
      <c r="AN7" s="5">
        <v>3189.671</v>
      </c>
      <c r="AO7" s="5">
        <v>77.796853658537</v>
      </c>
      <c r="AP7" s="9">
        <v>0.47787688711548</v>
      </c>
      <c r="AQ7" s="4">
        <v>41.0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48</v>
      </c>
      <c r="E8" s="4">
        <v>50.0</v>
      </c>
      <c r="F8" s="5">
        <v>2750.0</v>
      </c>
      <c r="G8" s="4">
        <v>230.0</v>
      </c>
      <c r="H8" s="5">
        <v>12650.0</v>
      </c>
      <c r="I8" s="6">
        <v>0</v>
      </c>
      <c r="J8" s="6">
        <v>0</v>
      </c>
      <c r="K8" s="4">
        <v>224.0</v>
      </c>
      <c r="L8" s="5">
        <v>12320.0</v>
      </c>
      <c r="M8" s="10">
        <v>-0.026785714285714</v>
      </c>
      <c r="N8" s="4">
        <v>176.0</v>
      </c>
      <c r="O8" s="4">
        <v>16.0</v>
      </c>
      <c r="P8" s="4">
        <v>20.0</v>
      </c>
      <c r="Q8" s="4">
        <v>10.0</v>
      </c>
      <c r="R8" s="4">
        <v>100.0</v>
      </c>
      <c r="S8" s="5">
        <v>5500.0</v>
      </c>
      <c r="T8" s="4">
        <v>26.833333</v>
      </c>
      <c r="U8" s="8">
        <v>3.7267081208287</v>
      </c>
      <c r="V8" s="5">
        <v>9596.006</v>
      </c>
      <c r="W8" s="5">
        <v>54.522761363636</v>
      </c>
      <c r="X8" s="5">
        <v>26656.238</v>
      </c>
      <c r="Y8" s="5">
        <v>151.45589772727</v>
      </c>
      <c r="Z8" s="5">
        <v>17060.232</v>
      </c>
      <c r="AA8" s="5">
        <v>96.933136363636</v>
      </c>
      <c r="AB8" s="9">
        <v>0.64000899151636</v>
      </c>
      <c r="AC8" s="4">
        <v>176.0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1100.0</v>
      </c>
      <c r="AK8" s="5">
        <v>55.0</v>
      </c>
      <c r="AL8" s="5">
        <v>3522.4</v>
      </c>
      <c r="AM8" s="5">
        <v>176.12</v>
      </c>
      <c r="AN8" s="5">
        <v>2422.4</v>
      </c>
      <c r="AO8" s="5">
        <v>121.12</v>
      </c>
      <c r="AP8" s="9">
        <v>0.68771292300704</v>
      </c>
      <c r="AQ8" s="4">
        <v>20.0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48</v>
      </c>
      <c r="E9" s="4">
        <v>470.0</v>
      </c>
      <c r="F9" s="5">
        <v>27730.0</v>
      </c>
      <c r="G9" s="4">
        <v>170.0</v>
      </c>
      <c r="H9" s="5">
        <v>10030.0</v>
      </c>
      <c r="I9" s="6">
        <v>0</v>
      </c>
      <c r="J9" s="6">
        <v>0</v>
      </c>
      <c r="K9" s="4">
        <v>352.545452</v>
      </c>
      <c r="L9" s="5">
        <v>20800.181668</v>
      </c>
      <c r="M9" s="7">
        <v>0.5177926731558</v>
      </c>
      <c r="N9" s="4">
        <v>287.0</v>
      </c>
      <c r="O9" s="4">
        <v>25.181818</v>
      </c>
      <c r="P9" s="4">
        <v>46.0</v>
      </c>
      <c r="Q9" s="4">
        <v>17.5</v>
      </c>
      <c r="R9" s="4">
        <v>46.0</v>
      </c>
      <c r="S9" s="5">
        <v>2714.0</v>
      </c>
      <c r="T9" s="4">
        <v>46.166666</v>
      </c>
      <c r="U9" s="8">
        <v>0.99638990608505</v>
      </c>
      <c r="V9" s="5">
        <v>16933.0</v>
      </c>
      <c r="W9" s="5">
        <v>59.0</v>
      </c>
      <c r="X9" s="5">
        <v>41059.529</v>
      </c>
      <c r="Y9" s="5">
        <v>143.06456097561</v>
      </c>
      <c r="Z9" s="5">
        <v>24126.529</v>
      </c>
      <c r="AA9" s="5">
        <v>84.06456097561</v>
      </c>
      <c r="AB9" s="9">
        <v>0.58759877640097</v>
      </c>
      <c r="AC9" s="4">
        <v>287.0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2714.0</v>
      </c>
      <c r="AK9" s="5">
        <v>59.0</v>
      </c>
      <c r="AL9" s="5">
        <v>7486.934</v>
      </c>
      <c r="AM9" s="5">
        <v>162.75943478261</v>
      </c>
      <c r="AN9" s="5">
        <v>4772.934</v>
      </c>
      <c r="AO9" s="5">
        <v>103.75943478261</v>
      </c>
      <c r="AP9" s="9">
        <v>0.63750181315876</v>
      </c>
      <c r="AQ9" s="4">
        <v>46.0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51</v>
      </c>
      <c r="E10" s="4">
        <v>40.0</v>
      </c>
      <c r="F10" s="5">
        <v>10000.0</v>
      </c>
      <c r="G10" s="4">
        <v>40.0</v>
      </c>
      <c r="H10" s="5">
        <v>10000.0</v>
      </c>
      <c r="I10" s="6">
        <v>0</v>
      </c>
      <c r="J10" s="6">
        <v>0</v>
      </c>
      <c r="K10" s="4">
        <v>45.818178</v>
      </c>
      <c r="L10" s="5">
        <v>11454.5445</v>
      </c>
      <c r="M10" s="7">
        <v>0.1269840542328</v>
      </c>
      <c r="N10" s="4">
        <v>36.0</v>
      </c>
      <c r="O10" s="4">
        <v>3.272727</v>
      </c>
      <c r="P10" s="4">
        <v>6.0</v>
      </c>
      <c r="Q10" s="4">
        <v>3.0</v>
      </c>
      <c r="R10" s="6">
        <v>0</v>
      </c>
      <c r="S10" s="6">
        <v>0</v>
      </c>
      <c r="T10" s="4">
        <v>6.0</v>
      </c>
      <c r="U10" s="13" t="s">
        <v>52</v>
      </c>
      <c r="V10" s="5">
        <v>11750.0</v>
      </c>
      <c r="W10" s="5">
        <v>326.38888888889</v>
      </c>
      <c r="X10" s="5">
        <v>9209.404</v>
      </c>
      <c r="Y10" s="5">
        <v>255.81677777778</v>
      </c>
      <c r="Z10" s="5">
        <v>-2540.596</v>
      </c>
      <c r="AA10" s="5">
        <v>-70.572111111111</v>
      </c>
      <c r="AB10" s="14">
        <v>-0.27586975226627</v>
      </c>
      <c r="AC10" s="4">
        <v>36.0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1500.0</v>
      </c>
      <c r="AK10" s="5">
        <v>250.0</v>
      </c>
      <c r="AL10" s="6">
        <v>0</v>
      </c>
      <c r="AM10" s="5">
        <v>0.0</v>
      </c>
      <c r="AN10" s="5">
        <v>-1500.0</v>
      </c>
      <c r="AO10" s="5">
        <v>-250.0</v>
      </c>
      <c r="AP10" s="15">
        <v>0</v>
      </c>
      <c r="AQ10" s="4">
        <v>6.0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51</v>
      </c>
      <c r="E11" s="4">
        <v>98.0</v>
      </c>
      <c r="F11" s="5">
        <v>9190.0</v>
      </c>
      <c r="G11" s="4">
        <v>95.0</v>
      </c>
      <c r="H11" s="5">
        <v>9975.0</v>
      </c>
      <c r="I11" s="4">
        <v>30.0</v>
      </c>
      <c r="J11" s="5">
        <v>3150.0</v>
      </c>
      <c r="K11" s="4">
        <v>147.636356</v>
      </c>
      <c r="L11" s="5">
        <v>15501.81738</v>
      </c>
      <c r="M11" s="7">
        <v>0.35652706031298</v>
      </c>
      <c r="N11" s="4">
        <v>116.0</v>
      </c>
      <c r="O11" s="4">
        <v>10.545454</v>
      </c>
      <c r="P11" s="4">
        <v>31.0</v>
      </c>
      <c r="Q11" s="4">
        <v>15.5</v>
      </c>
      <c r="R11" s="6">
        <v>0</v>
      </c>
      <c r="S11" s="6">
        <v>0</v>
      </c>
      <c r="T11" s="4">
        <v>23.5</v>
      </c>
      <c r="U11" s="13" t="s">
        <v>52</v>
      </c>
      <c r="V11" s="5">
        <v>12180.0</v>
      </c>
      <c r="W11" s="5">
        <v>105.0</v>
      </c>
      <c r="X11" s="5">
        <v>25679.477</v>
      </c>
      <c r="Y11" s="5">
        <v>221.37480172414</v>
      </c>
      <c r="Z11" s="5">
        <v>13499.477</v>
      </c>
      <c r="AA11" s="5">
        <v>116.37480172414</v>
      </c>
      <c r="AB11" s="9">
        <v>0.52569127478726</v>
      </c>
      <c r="AC11" s="4">
        <v>116.0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3255.0</v>
      </c>
      <c r="AK11" s="5">
        <v>105.0</v>
      </c>
      <c r="AL11" s="5">
        <v>7637.376</v>
      </c>
      <c r="AM11" s="5">
        <v>246.36696774194</v>
      </c>
      <c r="AN11" s="5">
        <v>4382.376</v>
      </c>
      <c r="AO11" s="5">
        <v>141.36696774194</v>
      </c>
      <c r="AP11" s="9">
        <v>0.573806501081</v>
      </c>
      <c r="AQ11" s="4">
        <v>31.0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51</v>
      </c>
      <c r="E12" s="4">
        <v>148.0</v>
      </c>
      <c r="F12" s="5">
        <v>28120.0</v>
      </c>
      <c r="G12" s="4">
        <v>50.0</v>
      </c>
      <c r="H12" s="5">
        <v>9500.0</v>
      </c>
      <c r="I12" s="6">
        <v>0</v>
      </c>
      <c r="J12" s="6">
        <v>0</v>
      </c>
      <c r="K12" s="4">
        <v>49.636356</v>
      </c>
      <c r="L12" s="5">
        <v>9430.90764</v>
      </c>
      <c r="M12" s="10">
        <v>-0.0073261622992631</v>
      </c>
      <c r="N12" s="4">
        <v>39.0</v>
      </c>
      <c r="O12" s="4">
        <v>3.545454</v>
      </c>
      <c r="P12" s="4">
        <v>11.0</v>
      </c>
      <c r="Q12" s="4">
        <v>5.0</v>
      </c>
      <c r="R12" s="4">
        <v>15.0</v>
      </c>
      <c r="S12" s="5">
        <v>2850.0</v>
      </c>
      <c r="T12" s="4">
        <v>6.666666</v>
      </c>
      <c r="U12" s="8">
        <v>2.250000225</v>
      </c>
      <c r="V12" s="5">
        <v>7410.0</v>
      </c>
      <c r="W12" s="5">
        <v>190.0</v>
      </c>
      <c r="X12" s="5">
        <v>15704.754</v>
      </c>
      <c r="Y12" s="5">
        <v>402.686</v>
      </c>
      <c r="Z12" s="5">
        <v>8294.754</v>
      </c>
      <c r="AA12" s="5">
        <v>212.686</v>
      </c>
      <c r="AB12" s="9">
        <v>0.52816834953289</v>
      </c>
      <c r="AC12" s="4">
        <v>39.0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2090.0</v>
      </c>
      <c r="AK12" s="5">
        <v>190.0</v>
      </c>
      <c r="AL12" s="5">
        <v>4400.692</v>
      </c>
      <c r="AM12" s="5">
        <v>400.06290909091</v>
      </c>
      <c r="AN12" s="5">
        <v>2310.692</v>
      </c>
      <c r="AO12" s="5">
        <v>210.06290909091</v>
      </c>
      <c r="AP12" s="9">
        <v>0.52507469279831</v>
      </c>
      <c r="AQ12" s="4">
        <v>11.0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51</v>
      </c>
      <c r="E13" s="4">
        <v>600.0</v>
      </c>
      <c r="F13" s="5">
        <v>18000.0</v>
      </c>
      <c r="G13" s="4">
        <v>300.0</v>
      </c>
      <c r="H13" s="5">
        <v>9000.0</v>
      </c>
      <c r="I13" s="6">
        <v>0</v>
      </c>
      <c r="J13" s="6">
        <v>0</v>
      </c>
      <c r="K13" s="4">
        <v>254.545452</v>
      </c>
      <c r="L13" s="5">
        <v>7636.36356</v>
      </c>
      <c r="M13" s="10">
        <v>-0.17857144035714</v>
      </c>
      <c r="N13" s="4">
        <v>200.0</v>
      </c>
      <c r="O13" s="4">
        <v>18.181818</v>
      </c>
      <c r="P13" s="4">
        <v>8.0</v>
      </c>
      <c r="Q13" s="4">
        <v>4.0</v>
      </c>
      <c r="R13" s="4">
        <v>69.0</v>
      </c>
      <c r="S13" s="5">
        <v>2070.0</v>
      </c>
      <c r="T13" s="4">
        <v>33.5</v>
      </c>
      <c r="U13" s="8">
        <v>2.0597014925373</v>
      </c>
      <c r="V13" s="5">
        <v>6000.0</v>
      </c>
      <c r="W13" s="5">
        <v>30.0</v>
      </c>
      <c r="X13" s="5">
        <v>31354.538</v>
      </c>
      <c r="Y13" s="5">
        <v>156.77269</v>
      </c>
      <c r="Z13" s="5">
        <v>25354.538</v>
      </c>
      <c r="AA13" s="5">
        <v>126.77269</v>
      </c>
      <c r="AB13" s="9">
        <v>0.80864014006521</v>
      </c>
      <c r="AC13" s="4">
        <v>200.0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240.0</v>
      </c>
      <c r="AK13" s="5">
        <v>30.0</v>
      </c>
      <c r="AL13" s="5">
        <v>1274.766</v>
      </c>
      <c r="AM13" s="5">
        <v>159.34575</v>
      </c>
      <c r="AN13" s="5">
        <v>1034.766</v>
      </c>
      <c r="AO13" s="5">
        <v>129.34575</v>
      </c>
      <c r="AP13" s="9">
        <v>0.81173015282805</v>
      </c>
      <c r="AQ13" s="4">
        <v>8.0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71</v>
      </c>
      <c r="E14" s="6">
        <v>0</v>
      </c>
      <c r="F14" s="6">
        <v>0</v>
      </c>
      <c r="G14" s="4">
        <v>30.0</v>
      </c>
      <c r="H14" s="5">
        <v>6870.0</v>
      </c>
      <c r="I14" s="6">
        <v>0</v>
      </c>
      <c r="J14" s="6">
        <v>0</v>
      </c>
      <c r="K14" s="4">
        <v>44.545452</v>
      </c>
      <c r="L14" s="5">
        <v>10200.908508</v>
      </c>
      <c r="M14" s="7">
        <v>0.32653057376093</v>
      </c>
      <c r="N14" s="4">
        <v>30.0</v>
      </c>
      <c r="O14" s="4">
        <v>3.181818</v>
      </c>
      <c r="P14" s="4">
        <v>3.0</v>
      </c>
      <c r="Q14" s="4">
        <v>1.5</v>
      </c>
      <c r="R14" s="4">
        <v>2.0</v>
      </c>
      <c r="S14" s="5">
        <v>458.0</v>
      </c>
      <c r="T14" s="4">
        <v>5.333333</v>
      </c>
      <c r="U14" s="8">
        <v>0.3750000234375</v>
      </c>
      <c r="V14" s="5">
        <v>5496.0</v>
      </c>
      <c r="W14" s="5">
        <v>183.2</v>
      </c>
      <c r="X14" s="5">
        <v>12556.079</v>
      </c>
      <c r="Y14" s="5">
        <v>418.53596666667</v>
      </c>
      <c r="Z14" s="5">
        <v>7060.079</v>
      </c>
      <c r="AA14" s="5">
        <v>235.33596666667</v>
      </c>
      <c r="AB14" s="9">
        <v>0.56228373523295</v>
      </c>
      <c r="AC14" s="4">
        <v>30.0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687.0</v>
      </c>
      <c r="AK14" s="5">
        <v>229.0</v>
      </c>
      <c r="AL14" s="5">
        <v>1401.87</v>
      </c>
      <c r="AM14" s="5">
        <v>467.29</v>
      </c>
      <c r="AN14" s="5">
        <v>714.87</v>
      </c>
      <c r="AO14" s="5">
        <v>238.29</v>
      </c>
      <c r="AP14" s="9">
        <v>0.50994029403582</v>
      </c>
      <c r="AQ14" s="4">
        <v>3.0</v>
      </c>
      <c r="AR14" s="4">
        <v>2.0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48</v>
      </c>
      <c r="E15" s="4">
        <v>80.0</v>
      </c>
      <c r="F15" s="5">
        <v>3920.0</v>
      </c>
      <c r="G15" s="4">
        <v>100.0</v>
      </c>
      <c r="H15" s="5">
        <v>4900.0</v>
      </c>
      <c r="I15" s="6">
        <v>0</v>
      </c>
      <c r="J15" s="6">
        <v>0</v>
      </c>
      <c r="K15" s="4">
        <v>112.0</v>
      </c>
      <c r="L15" s="5">
        <v>5488.0</v>
      </c>
      <c r="M15" s="7">
        <v>0.10714285714286</v>
      </c>
      <c r="N15" s="4">
        <v>88.0</v>
      </c>
      <c r="O15" s="4">
        <v>8.0</v>
      </c>
      <c r="P15" s="4">
        <v>16.0</v>
      </c>
      <c r="Q15" s="4">
        <v>8.0</v>
      </c>
      <c r="R15" s="4">
        <v>41.0</v>
      </c>
      <c r="S15" s="5">
        <v>2009.0</v>
      </c>
      <c r="T15" s="4">
        <v>12.333333</v>
      </c>
      <c r="U15" s="8">
        <v>3.3243244141709</v>
      </c>
      <c r="V15" s="5">
        <v>4312.0</v>
      </c>
      <c r="W15" s="5">
        <v>49.0</v>
      </c>
      <c r="X15" s="5">
        <v>9539.0</v>
      </c>
      <c r="Y15" s="5">
        <v>108.39772727273</v>
      </c>
      <c r="Z15" s="5">
        <v>5227.0</v>
      </c>
      <c r="AA15" s="5">
        <v>59.397727272727</v>
      </c>
      <c r="AB15" s="9">
        <v>0.54796100220149</v>
      </c>
      <c r="AC15" s="4">
        <v>88.0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784.0</v>
      </c>
      <c r="AK15" s="5">
        <v>49.0</v>
      </c>
      <c r="AL15" s="5">
        <v>1551.404</v>
      </c>
      <c r="AM15" s="5">
        <v>96.96275</v>
      </c>
      <c r="AN15" s="5">
        <v>767.404</v>
      </c>
      <c r="AO15" s="5">
        <v>47.96275</v>
      </c>
      <c r="AP15" s="9">
        <v>0.49465129650304</v>
      </c>
      <c r="AQ15" s="4">
        <v>16.0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74</v>
      </c>
      <c r="C16" t="s">
        <v>75</v>
      </c>
      <c r="D16" s="3" t="s">
        <v>51</v>
      </c>
      <c r="E16" s="6">
        <v>0</v>
      </c>
      <c r="F16" s="6">
        <v>0</v>
      </c>
      <c r="G16" s="4">
        <v>20.0</v>
      </c>
      <c r="H16" s="5">
        <v>4000.0</v>
      </c>
      <c r="I16" s="6">
        <v>0</v>
      </c>
      <c r="J16" s="6">
        <v>0</v>
      </c>
      <c r="K16" s="4">
        <v>2.545452</v>
      </c>
      <c r="L16" s="5">
        <v>509.0904</v>
      </c>
      <c r="M16" s="10">
        <v>-6.8571507142936</v>
      </c>
      <c r="N16" s="4">
        <v>1.0</v>
      </c>
      <c r="O16" s="4">
        <v>0.181818</v>
      </c>
      <c r="P16" s="4">
        <v>1.0</v>
      </c>
      <c r="Q16" s="4">
        <v>0.5</v>
      </c>
      <c r="R16" s="4">
        <v>16.0</v>
      </c>
      <c r="S16" s="5">
        <v>3200.0</v>
      </c>
      <c r="T16" s="4">
        <v>0.333333</v>
      </c>
      <c r="U16" s="11">
        <v>48.000048000048</v>
      </c>
      <c r="V16" s="5">
        <v>200.0</v>
      </c>
      <c r="W16" s="5">
        <v>200.0</v>
      </c>
      <c r="X16" s="5">
        <v>373.832</v>
      </c>
      <c r="Y16" s="5">
        <v>373.832</v>
      </c>
      <c r="Z16" s="5">
        <v>173.832</v>
      </c>
      <c r="AA16" s="5">
        <v>173.832</v>
      </c>
      <c r="AB16" s="9">
        <v>0.46500032099981</v>
      </c>
      <c r="AC16" s="4">
        <v>1.0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200.0</v>
      </c>
      <c r="AK16" s="5">
        <v>200.0</v>
      </c>
      <c r="AL16" s="5">
        <v>514.019</v>
      </c>
      <c r="AM16" s="5">
        <v>514.019</v>
      </c>
      <c r="AN16" s="5">
        <v>314.019</v>
      </c>
      <c r="AO16" s="5">
        <v>314.019</v>
      </c>
      <c r="AP16" s="9">
        <v>0.6109093243635</v>
      </c>
      <c r="AQ16" s="4">
        <v>1.0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6">
        <v>0</v>
      </c>
      <c r="F17" s="6">
        <v>0</v>
      </c>
      <c r="G17" s="4">
        <v>300.0</v>
      </c>
      <c r="H17" s="5">
        <v>3600.0</v>
      </c>
      <c r="I17" s="6">
        <v>0</v>
      </c>
      <c r="J17" s="6">
        <v>0</v>
      </c>
      <c r="K17" s="4">
        <v>325.818178</v>
      </c>
      <c r="L17" s="5">
        <v>3909.818136</v>
      </c>
      <c r="M17" s="7">
        <v>0.079241060638428</v>
      </c>
      <c r="N17" s="4">
        <v>256.0</v>
      </c>
      <c r="O17" s="4">
        <v>23.272727</v>
      </c>
      <c r="P17" s="4">
        <v>91.0</v>
      </c>
      <c r="Q17" s="4">
        <v>40.5</v>
      </c>
      <c r="R17" s="4">
        <v>12.0</v>
      </c>
      <c r="S17" s="5">
        <v>144.0</v>
      </c>
      <c r="T17" s="4">
        <v>48.666666</v>
      </c>
      <c r="U17" s="8">
        <v>0.2465753458435</v>
      </c>
      <c r="V17" s="5">
        <v>2996.0</v>
      </c>
      <c r="W17" s="5">
        <v>11.703125</v>
      </c>
      <c r="X17" s="5">
        <v>11745.143</v>
      </c>
      <c r="Y17" s="5">
        <v>45.87946484375</v>
      </c>
      <c r="Z17" s="5">
        <v>8749.143</v>
      </c>
      <c r="AA17" s="5">
        <v>34.17633984375</v>
      </c>
      <c r="AB17" s="9">
        <v>0.74491583457094</v>
      </c>
      <c r="AC17" s="4">
        <v>256.0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1092.0</v>
      </c>
      <c r="AK17" s="5">
        <v>12.0</v>
      </c>
      <c r="AL17" s="5">
        <v>3591.199</v>
      </c>
      <c r="AM17" s="5">
        <v>39.463725274725</v>
      </c>
      <c r="AN17" s="5">
        <v>2499.199</v>
      </c>
      <c r="AO17" s="5">
        <v>27.463725274725</v>
      </c>
      <c r="AP17" s="9">
        <v>0.69592328356073</v>
      </c>
      <c r="AQ17" s="4">
        <v>91.0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78</v>
      </c>
      <c r="C18" t="s">
        <v>79</v>
      </c>
      <c r="D18" s="3" t="s">
        <v>51</v>
      </c>
      <c r="E18" s="6">
        <v>0</v>
      </c>
      <c r="F18" s="6">
        <v>0</v>
      </c>
      <c r="G18" s="4">
        <v>50.0</v>
      </c>
      <c r="H18" s="5">
        <v>3500.0</v>
      </c>
      <c r="I18" s="6">
        <v>0</v>
      </c>
      <c r="J18" s="6">
        <v>0</v>
      </c>
      <c r="K18" s="6">
        <v>0</v>
      </c>
      <c r="L18" s="6">
        <v>0</v>
      </c>
      <c r="M18" s="12">
        <v>0</v>
      </c>
      <c r="N18" s="6">
        <v>0</v>
      </c>
      <c r="O18" s="6">
        <v>0</v>
      </c>
      <c r="P18" s="4">
        <v>10.0</v>
      </c>
      <c r="Q18" s="4">
        <v>5.0</v>
      </c>
      <c r="R18" s="4">
        <v>34.0</v>
      </c>
      <c r="S18" s="5">
        <v>2380.0</v>
      </c>
      <c r="T18" s="4">
        <v>1.666666</v>
      </c>
      <c r="U18" s="11">
        <v>20.400008160003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700.0</v>
      </c>
      <c r="AK18" s="5">
        <v>70.0</v>
      </c>
      <c r="AL18" s="5">
        <v>1028.0</v>
      </c>
      <c r="AM18" s="5">
        <v>102.8</v>
      </c>
      <c r="AN18" s="5">
        <v>328.0</v>
      </c>
      <c r="AO18" s="5">
        <v>32.8</v>
      </c>
      <c r="AP18" s="9">
        <v>0.31906614785992</v>
      </c>
      <c r="AQ18" s="4">
        <v>10.0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80</v>
      </c>
      <c r="C19" t="s">
        <v>81</v>
      </c>
      <c r="D19" s="3" t="s">
        <v>48</v>
      </c>
      <c r="E19" s="4">
        <v>80.0</v>
      </c>
      <c r="F19" s="5">
        <v>2400.0</v>
      </c>
      <c r="G19" s="4">
        <v>110.0</v>
      </c>
      <c r="H19" s="5">
        <v>3300.0</v>
      </c>
      <c r="I19" s="6">
        <v>0</v>
      </c>
      <c r="J19" s="6">
        <v>0</v>
      </c>
      <c r="K19" s="4">
        <v>104.36363</v>
      </c>
      <c r="L19" s="5">
        <v>3130.9089</v>
      </c>
      <c r="M19" s="10">
        <v>-0.054007032909836</v>
      </c>
      <c r="N19" s="4">
        <v>82.0</v>
      </c>
      <c r="O19" s="4">
        <v>7.454545</v>
      </c>
      <c r="P19" s="4">
        <v>11.0</v>
      </c>
      <c r="Q19" s="4">
        <v>5.5</v>
      </c>
      <c r="R19" s="4">
        <v>46.0</v>
      </c>
      <c r="S19" s="5">
        <v>1380.0</v>
      </c>
      <c r="T19" s="4">
        <v>12.833333</v>
      </c>
      <c r="U19" s="8">
        <v>3.5844156775173</v>
      </c>
      <c r="V19" s="5">
        <v>2375.999</v>
      </c>
      <c r="W19" s="5">
        <v>28.975597560976</v>
      </c>
      <c r="X19" s="5">
        <v>8261.277</v>
      </c>
      <c r="Y19" s="5">
        <v>100.7472804878</v>
      </c>
      <c r="Z19" s="5">
        <v>5885.278</v>
      </c>
      <c r="AA19" s="5">
        <v>71.771682926829</v>
      </c>
      <c r="AB19" s="9">
        <v>0.71239325348853</v>
      </c>
      <c r="AC19" s="4">
        <v>82.0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330.0</v>
      </c>
      <c r="AK19" s="5">
        <v>30.0</v>
      </c>
      <c r="AL19" s="5">
        <v>813.079</v>
      </c>
      <c r="AM19" s="5">
        <v>73.916272727273</v>
      </c>
      <c r="AN19" s="5">
        <v>483.079</v>
      </c>
      <c r="AO19" s="5">
        <v>43.916272727273</v>
      </c>
      <c r="AP19" s="9">
        <v>0.59413537921899</v>
      </c>
      <c r="AQ19" s="4">
        <v>11.0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82</v>
      </c>
      <c r="C20" t="s">
        <v>83</v>
      </c>
      <c r="D20" s="3" t="s">
        <v>51</v>
      </c>
      <c r="E20" s="6">
        <v>0</v>
      </c>
      <c r="F20" s="6">
        <v>0</v>
      </c>
      <c r="G20" s="4">
        <v>100.0</v>
      </c>
      <c r="H20" s="5">
        <v>3000.0</v>
      </c>
      <c r="I20" s="6">
        <v>0</v>
      </c>
      <c r="J20" s="6">
        <v>0</v>
      </c>
      <c r="K20" s="4">
        <v>10.181808</v>
      </c>
      <c r="L20" s="5">
        <v>305.45424</v>
      </c>
      <c r="M20" s="10">
        <v>-8.821438392867</v>
      </c>
      <c r="N20" s="4">
        <v>8.0</v>
      </c>
      <c r="O20" s="4">
        <v>0.727272</v>
      </c>
      <c r="P20" s="6">
        <v>0</v>
      </c>
      <c r="Q20" s="6">
        <v>0</v>
      </c>
      <c r="R20" s="4">
        <v>90.0</v>
      </c>
      <c r="S20" s="5">
        <v>2700.0</v>
      </c>
      <c r="T20" s="4">
        <v>1.333333</v>
      </c>
      <c r="U20" s="11">
        <v>67.500016875004</v>
      </c>
      <c r="V20" s="5">
        <v>240.0</v>
      </c>
      <c r="W20" s="5">
        <v>30.0</v>
      </c>
      <c r="X20" s="5">
        <v>593.456</v>
      </c>
      <c r="Y20" s="5">
        <v>74.182</v>
      </c>
      <c r="Z20" s="5">
        <v>353.456</v>
      </c>
      <c r="AA20" s="5">
        <v>44.182</v>
      </c>
      <c r="AB20" s="9">
        <v>0.59558922649699</v>
      </c>
      <c r="AC20" s="4">
        <v>8.0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84</v>
      </c>
      <c r="C21" t="s">
        <v>85</v>
      </c>
      <c r="D21" s="3" t="s">
        <v>48</v>
      </c>
      <c r="E21" s="4">
        <v>50.0</v>
      </c>
      <c r="F21" s="5">
        <v>1750.0</v>
      </c>
      <c r="G21" s="4">
        <v>80.0</v>
      </c>
      <c r="H21" s="5">
        <v>2800.0</v>
      </c>
      <c r="I21" s="6">
        <v>0</v>
      </c>
      <c r="J21" s="6">
        <v>0</v>
      </c>
      <c r="K21" s="4">
        <v>115.818178</v>
      </c>
      <c r="L21" s="5">
        <v>4053.63623</v>
      </c>
      <c r="M21" s="7">
        <v>0.30926214363345</v>
      </c>
      <c r="N21" s="4">
        <v>91.0</v>
      </c>
      <c r="O21" s="4">
        <v>8.272727</v>
      </c>
      <c r="P21" s="4">
        <v>1.0</v>
      </c>
      <c r="Q21" s="4">
        <v>0.5</v>
      </c>
      <c r="R21" s="4">
        <v>74.0</v>
      </c>
      <c r="S21" s="5">
        <v>2590.0</v>
      </c>
      <c r="T21" s="4">
        <v>10.5</v>
      </c>
      <c r="U21" s="11">
        <v>7.047619047619</v>
      </c>
      <c r="V21" s="5">
        <v>3185.0</v>
      </c>
      <c r="W21" s="5">
        <v>35.0</v>
      </c>
      <c r="X21" s="5">
        <v>8659.359</v>
      </c>
      <c r="Y21" s="5">
        <v>95.157791208791</v>
      </c>
      <c r="Z21" s="5">
        <v>5474.359</v>
      </c>
      <c r="AA21" s="5">
        <v>60.157791208791</v>
      </c>
      <c r="AB21" s="9">
        <v>0.63218986532375</v>
      </c>
      <c r="AC21" s="4">
        <v>91.0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35.0</v>
      </c>
      <c r="AK21" s="5">
        <v>35.0</v>
      </c>
      <c r="AL21" s="5">
        <v>18.689</v>
      </c>
      <c r="AM21" s="5">
        <v>18.689</v>
      </c>
      <c r="AN21" s="5">
        <v>-16.311</v>
      </c>
      <c r="AO21" s="5">
        <v>-16.311</v>
      </c>
      <c r="AP21" s="14">
        <v>-0.87275937717374</v>
      </c>
      <c r="AQ21" s="4">
        <v>1.0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86</v>
      </c>
      <c r="C22" t="s">
        <v>87</v>
      </c>
      <c r="D22" s="3" t="s">
        <v>48</v>
      </c>
      <c r="E22" s="4">
        <v>10.0</v>
      </c>
      <c r="F22" s="5">
        <v>510.0</v>
      </c>
      <c r="G22" s="4">
        <v>40.0</v>
      </c>
      <c r="H22" s="5">
        <v>2040.0</v>
      </c>
      <c r="I22" s="6">
        <v>0</v>
      </c>
      <c r="J22" s="6">
        <v>0</v>
      </c>
      <c r="K22" s="4">
        <v>48.36363</v>
      </c>
      <c r="L22" s="5">
        <v>2466.54513</v>
      </c>
      <c r="M22" s="7">
        <v>0.17293222200236</v>
      </c>
      <c r="N22" s="4">
        <v>38.0</v>
      </c>
      <c r="O22" s="4">
        <v>3.454545</v>
      </c>
      <c r="P22" s="4">
        <v>1.0</v>
      </c>
      <c r="Q22" s="4">
        <v>0.5</v>
      </c>
      <c r="R22" s="4">
        <v>29.0</v>
      </c>
      <c r="S22" s="5">
        <v>1479.0</v>
      </c>
      <c r="T22" s="4">
        <v>5.166666</v>
      </c>
      <c r="U22" s="16">
        <v>5.6129039500521</v>
      </c>
      <c r="V22" s="5">
        <v>1938.0</v>
      </c>
      <c r="W22" s="5">
        <v>51.0</v>
      </c>
      <c r="X22" s="5">
        <v>4871.781</v>
      </c>
      <c r="Y22" s="5">
        <v>128.20476315789</v>
      </c>
      <c r="Z22" s="5">
        <v>2933.781</v>
      </c>
      <c r="AA22" s="5">
        <v>77.204763157895</v>
      </c>
      <c r="AB22" s="9">
        <v>0.60219886731362</v>
      </c>
      <c r="AC22" s="4">
        <v>38.0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51.0</v>
      </c>
      <c r="AK22" s="5">
        <v>51.0</v>
      </c>
      <c r="AL22" s="5">
        <v>18.689</v>
      </c>
      <c r="AM22" s="5">
        <v>18.689</v>
      </c>
      <c r="AN22" s="5">
        <v>-32.311</v>
      </c>
      <c r="AO22" s="5">
        <v>-32.311</v>
      </c>
      <c r="AP22" s="14">
        <v>-1.728877949596</v>
      </c>
      <c r="AQ22" s="4">
        <v>1.0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88</v>
      </c>
      <c r="C23" t="s">
        <v>89</v>
      </c>
      <c r="D23" s="3" t="s">
        <v>51</v>
      </c>
      <c r="E23" s="6">
        <v>0</v>
      </c>
      <c r="F23" s="6">
        <v>0</v>
      </c>
      <c r="G23" s="4">
        <v>29.0</v>
      </c>
      <c r="H23" s="5">
        <v>1972.0</v>
      </c>
      <c r="I23" s="6">
        <v>0</v>
      </c>
      <c r="J23" s="6">
        <v>0</v>
      </c>
      <c r="K23" s="6">
        <v>0</v>
      </c>
      <c r="L23" s="6">
        <v>0</v>
      </c>
      <c r="M23" s="12">
        <v>0</v>
      </c>
      <c r="N23" s="6">
        <v>0</v>
      </c>
      <c r="O23" s="6">
        <v>0</v>
      </c>
      <c r="P23" s="6">
        <v>0</v>
      </c>
      <c r="Q23" s="6">
        <v>0</v>
      </c>
      <c r="R23" s="4">
        <v>29.0</v>
      </c>
      <c r="S23" s="5">
        <v>1972.0</v>
      </c>
      <c r="T23" s="6">
        <v>0</v>
      </c>
      <c r="U23" s="13" t="s">
        <v>52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90</v>
      </c>
      <c r="C24" t="s">
        <v>91</v>
      </c>
      <c r="D24" s="3" t="s">
        <v>51</v>
      </c>
      <c r="E24" s="6">
        <v>0</v>
      </c>
      <c r="F24" s="6">
        <v>0</v>
      </c>
      <c r="G24" s="4">
        <v>30.0</v>
      </c>
      <c r="H24" s="5">
        <v>1770.0</v>
      </c>
      <c r="I24" s="6">
        <v>0</v>
      </c>
      <c r="J24" s="6">
        <v>0</v>
      </c>
      <c r="K24" s="6">
        <v>0</v>
      </c>
      <c r="L24" s="6">
        <v>0</v>
      </c>
      <c r="M24" s="12">
        <v>0</v>
      </c>
      <c r="N24" s="6">
        <v>0</v>
      </c>
      <c r="O24" s="6">
        <v>0</v>
      </c>
      <c r="P24" s="6">
        <v>0</v>
      </c>
      <c r="Q24" s="6">
        <v>0</v>
      </c>
      <c r="R24" s="4">
        <v>30.0</v>
      </c>
      <c r="S24" s="5">
        <v>1770.0</v>
      </c>
      <c r="T24" s="6">
        <v>0</v>
      </c>
      <c r="U24" s="13" t="s">
        <v>52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92</v>
      </c>
      <c r="C25" t="s">
        <v>93</v>
      </c>
      <c r="D25" s="3" t="s">
        <v>48</v>
      </c>
      <c r="E25" s="4">
        <v>40.0</v>
      </c>
      <c r="F25" s="5">
        <v>440.0</v>
      </c>
      <c r="G25" s="4">
        <v>150.0</v>
      </c>
      <c r="H25" s="5">
        <v>1650.0</v>
      </c>
      <c r="I25" s="6">
        <v>0</v>
      </c>
      <c r="J25" s="6">
        <v>0</v>
      </c>
      <c r="K25" s="4">
        <v>113.272726</v>
      </c>
      <c r="L25" s="5">
        <v>1245.999986</v>
      </c>
      <c r="M25" s="10">
        <v>-0.32423757507169</v>
      </c>
      <c r="N25" s="4">
        <v>89.0</v>
      </c>
      <c r="O25" s="4">
        <v>8.090909</v>
      </c>
      <c r="P25" s="4">
        <v>11.0</v>
      </c>
      <c r="Q25" s="4">
        <v>5.5</v>
      </c>
      <c r="R25" s="4">
        <v>58.0</v>
      </c>
      <c r="S25" s="5">
        <v>638.0</v>
      </c>
      <c r="T25" s="4">
        <v>16.166666</v>
      </c>
      <c r="U25" s="8">
        <v>3.5876290139228</v>
      </c>
      <c r="V25" s="5">
        <v>979.0</v>
      </c>
      <c r="W25" s="5">
        <v>11.0</v>
      </c>
      <c r="X25" s="5">
        <v>4334.533</v>
      </c>
      <c r="Y25" s="5">
        <v>48.702617977528</v>
      </c>
      <c r="Z25" s="5">
        <v>3355.533</v>
      </c>
      <c r="AA25" s="5">
        <v>37.702617977528</v>
      </c>
      <c r="AB25" s="9">
        <v>0.77413945170103</v>
      </c>
      <c r="AC25" s="4">
        <v>89.0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121.0</v>
      </c>
      <c r="AK25" s="5">
        <v>11.0</v>
      </c>
      <c r="AL25" s="5">
        <v>569.939</v>
      </c>
      <c r="AM25" s="5">
        <v>51.812636363636</v>
      </c>
      <c r="AN25" s="5">
        <v>448.939</v>
      </c>
      <c r="AO25" s="5">
        <v>40.812636363636</v>
      </c>
      <c r="AP25" s="9">
        <v>0.78769657805484</v>
      </c>
      <c r="AQ25" s="4">
        <v>11.0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94</v>
      </c>
      <c r="C26" t="s">
        <v>95</v>
      </c>
      <c r="D26" s="3" t="s">
        <v>48</v>
      </c>
      <c r="E26" s="4">
        <v>110.0</v>
      </c>
      <c r="F26" s="5">
        <v>2420.0</v>
      </c>
      <c r="G26" s="4">
        <v>50.0</v>
      </c>
      <c r="H26" s="5">
        <v>1100.0</v>
      </c>
      <c r="I26" s="6">
        <v>0</v>
      </c>
      <c r="J26" s="6">
        <v>0</v>
      </c>
      <c r="K26" s="4">
        <v>85.272726</v>
      </c>
      <c r="L26" s="5">
        <v>1875.999972</v>
      </c>
      <c r="M26" s="7">
        <v>0.41364604668555</v>
      </c>
      <c r="N26" s="4">
        <v>67.0</v>
      </c>
      <c r="O26" s="4">
        <v>6.090909</v>
      </c>
      <c r="P26" s="4">
        <v>1.0</v>
      </c>
      <c r="Q26" s="4">
        <v>0.5</v>
      </c>
      <c r="R26" s="4">
        <v>45.0</v>
      </c>
      <c r="S26" s="5">
        <v>990.0</v>
      </c>
      <c r="T26" s="4">
        <v>10.5</v>
      </c>
      <c r="U26" s="16">
        <v>4.2857142857143</v>
      </c>
      <c r="V26" s="5">
        <v>1667.081</v>
      </c>
      <c r="W26" s="5">
        <v>24.881805970149</v>
      </c>
      <c r="X26" s="5">
        <v>5972.227</v>
      </c>
      <c r="Y26" s="5">
        <v>89.13771641791</v>
      </c>
      <c r="Z26" s="5">
        <v>4305.146</v>
      </c>
      <c r="AA26" s="5">
        <v>64.255910447761</v>
      </c>
      <c r="AB26" s="9">
        <v>0.72086107912509</v>
      </c>
      <c r="AC26" s="4">
        <v>67.0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22.0</v>
      </c>
      <c r="AK26" s="5">
        <v>22.0</v>
      </c>
      <c r="AL26" s="5">
        <v>18.689</v>
      </c>
      <c r="AM26" s="5">
        <v>18.689</v>
      </c>
      <c r="AN26" s="5">
        <v>-3.311</v>
      </c>
      <c r="AO26" s="5">
        <v>-3.311</v>
      </c>
      <c r="AP26" s="14">
        <v>-0.17716303708064</v>
      </c>
      <c r="AQ26" s="4">
        <v>1.0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96</v>
      </c>
      <c r="C27" t="s">
        <v>97</v>
      </c>
      <c r="D27" s="3" t="s">
        <v>51</v>
      </c>
      <c r="E27" s="6">
        <v>0</v>
      </c>
      <c r="F27" s="6">
        <v>0</v>
      </c>
      <c r="G27" s="4">
        <v>20.0</v>
      </c>
      <c r="H27" s="5">
        <v>1060.0</v>
      </c>
      <c r="I27" s="6">
        <v>0</v>
      </c>
      <c r="J27" s="6">
        <v>0</v>
      </c>
      <c r="K27" s="6">
        <v>0</v>
      </c>
      <c r="L27" s="6">
        <v>0</v>
      </c>
      <c r="M27" s="12">
        <v>0</v>
      </c>
      <c r="N27" s="6">
        <v>0</v>
      </c>
      <c r="O27" s="6">
        <v>0</v>
      </c>
      <c r="P27" s="6">
        <v>0</v>
      </c>
      <c r="Q27" s="6">
        <v>0</v>
      </c>
      <c r="R27" s="4">
        <v>20.0</v>
      </c>
      <c r="S27" s="5">
        <v>1060.0</v>
      </c>
      <c r="T27" s="6">
        <v>0</v>
      </c>
      <c r="U27" s="13" t="s">
        <v>52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98</v>
      </c>
      <c r="C28" t="s">
        <v>99</v>
      </c>
      <c r="D28" s="3" t="s">
        <v>48</v>
      </c>
      <c r="E28" s="4">
        <v>350.0</v>
      </c>
      <c r="F28" s="5">
        <v>7000.0</v>
      </c>
      <c r="G28" s="4">
        <v>50.0</v>
      </c>
      <c r="H28" s="5">
        <v>1000.0</v>
      </c>
      <c r="I28" s="6">
        <v>0</v>
      </c>
      <c r="J28" s="6">
        <v>0</v>
      </c>
      <c r="K28" s="4">
        <v>190.909082</v>
      </c>
      <c r="L28" s="5">
        <v>3818.18164</v>
      </c>
      <c r="M28" s="7">
        <v>0.73809522587302</v>
      </c>
      <c r="N28" s="4">
        <v>150.0</v>
      </c>
      <c r="O28" s="4">
        <v>13.636363</v>
      </c>
      <c r="P28" s="4">
        <v>26.0</v>
      </c>
      <c r="Q28" s="4">
        <v>12.5</v>
      </c>
      <c r="R28" s="4">
        <v>4.0</v>
      </c>
      <c r="S28" s="5">
        <v>80.0</v>
      </c>
      <c r="T28" s="4">
        <v>26.833333</v>
      </c>
      <c r="U28" s="8">
        <v>0.14906832483315</v>
      </c>
      <c r="V28" s="5">
        <v>3467.32</v>
      </c>
      <c r="W28" s="5">
        <v>23.115466666667</v>
      </c>
      <c r="X28" s="5">
        <v>13438.712</v>
      </c>
      <c r="Y28" s="5">
        <v>89.591413333333</v>
      </c>
      <c r="Z28" s="5">
        <v>9971.392</v>
      </c>
      <c r="AA28" s="5">
        <v>66.475946666667</v>
      </c>
      <c r="AB28" s="9">
        <v>0.7419901550089</v>
      </c>
      <c r="AC28" s="4">
        <v>150.0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520.0</v>
      </c>
      <c r="AK28" s="5">
        <v>20.0</v>
      </c>
      <c r="AL28" s="5">
        <v>2069.659</v>
      </c>
      <c r="AM28" s="5">
        <v>79.602269230769</v>
      </c>
      <c r="AN28" s="5">
        <v>1549.659</v>
      </c>
      <c r="AO28" s="5">
        <v>59.602269230769</v>
      </c>
      <c r="AP28" s="9">
        <v>0.74875088118381</v>
      </c>
      <c r="AQ28" s="4">
        <v>26.0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48</v>
      </c>
      <c r="E29" s="6">
        <v>0</v>
      </c>
      <c r="F29" s="6">
        <v>0</v>
      </c>
      <c r="G29" s="4">
        <v>20.0</v>
      </c>
      <c r="H29" s="5">
        <v>780.0</v>
      </c>
      <c r="I29" s="6">
        <v>0</v>
      </c>
      <c r="J29" s="6">
        <v>0</v>
      </c>
      <c r="K29" s="4">
        <v>22.909082</v>
      </c>
      <c r="L29" s="5">
        <v>893.454198</v>
      </c>
      <c r="M29" s="7">
        <v>0.12698378747782</v>
      </c>
      <c r="N29" s="4">
        <v>18.0</v>
      </c>
      <c r="O29" s="4">
        <v>1.636363</v>
      </c>
      <c r="P29" s="4">
        <v>1.0</v>
      </c>
      <c r="Q29" s="4">
        <v>0.5</v>
      </c>
      <c r="R29" s="4">
        <v>23.0</v>
      </c>
      <c r="S29" s="5">
        <v>897.0</v>
      </c>
      <c r="T29" s="4">
        <v>2.0</v>
      </c>
      <c r="U29" s="11">
        <v>11.5</v>
      </c>
      <c r="V29" s="5">
        <v>778.4</v>
      </c>
      <c r="W29" s="5">
        <v>43.244444444444</v>
      </c>
      <c r="X29" s="5">
        <v>1901.865</v>
      </c>
      <c r="Y29" s="5">
        <v>105.65916666667</v>
      </c>
      <c r="Z29" s="5">
        <v>1123.465</v>
      </c>
      <c r="AA29" s="5">
        <v>62.414722222222</v>
      </c>
      <c r="AB29" s="9">
        <v>0.59071753252728</v>
      </c>
      <c r="AC29" s="4">
        <v>18.0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42.0</v>
      </c>
      <c r="AK29" s="5">
        <v>42.0</v>
      </c>
      <c r="AL29" s="5">
        <v>18.689</v>
      </c>
      <c r="AM29" s="5">
        <v>18.689</v>
      </c>
      <c r="AN29" s="5">
        <v>-23.311</v>
      </c>
      <c r="AO29" s="5">
        <v>-23.311</v>
      </c>
      <c r="AP29" s="14">
        <v>-1.2473112526085</v>
      </c>
      <c r="AQ29" s="4">
        <v>1.0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48</v>
      </c>
      <c r="E30" s="6">
        <v>0</v>
      </c>
      <c r="F30" s="6">
        <v>0</v>
      </c>
      <c r="G30" s="4">
        <v>20.0</v>
      </c>
      <c r="H30" s="5">
        <v>780.0</v>
      </c>
      <c r="I30" s="6">
        <v>0</v>
      </c>
      <c r="J30" s="6">
        <v>0</v>
      </c>
      <c r="K30" s="4">
        <v>31.818178</v>
      </c>
      <c r="L30" s="5">
        <v>1240.908942</v>
      </c>
      <c r="M30" s="7">
        <v>0.37142849599999</v>
      </c>
      <c r="N30" s="4">
        <v>25.0</v>
      </c>
      <c r="O30" s="4">
        <v>2.272727</v>
      </c>
      <c r="P30" s="4">
        <v>1.0</v>
      </c>
      <c r="Q30" s="4">
        <v>0.5</v>
      </c>
      <c r="R30" s="4">
        <v>11.0</v>
      </c>
      <c r="S30" s="5">
        <v>429.0</v>
      </c>
      <c r="T30" s="4">
        <v>3.0</v>
      </c>
      <c r="U30" s="8">
        <v>3.6666666666667</v>
      </c>
      <c r="V30" s="5">
        <v>987.0</v>
      </c>
      <c r="W30" s="5">
        <v>39.48</v>
      </c>
      <c r="X30" s="5">
        <v>2210.265</v>
      </c>
      <c r="Y30" s="5">
        <v>88.4106</v>
      </c>
      <c r="Z30" s="5">
        <v>1223.265</v>
      </c>
      <c r="AA30" s="5">
        <v>48.9306</v>
      </c>
      <c r="AB30" s="9">
        <v>0.55344721108102</v>
      </c>
      <c r="AC30" s="4">
        <v>25.0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39.0</v>
      </c>
      <c r="AK30" s="5">
        <v>39.0</v>
      </c>
      <c r="AL30" s="5">
        <v>18.689</v>
      </c>
      <c r="AM30" s="5">
        <v>18.689</v>
      </c>
      <c r="AN30" s="5">
        <v>-20.311</v>
      </c>
      <c r="AO30" s="5">
        <v>-20.311</v>
      </c>
      <c r="AP30" s="14">
        <v>-1.0867890202793</v>
      </c>
      <c r="AQ30" s="4">
        <v>1.0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51</v>
      </c>
      <c r="E31" s="6">
        <v>0</v>
      </c>
      <c r="F31" s="6">
        <v>0</v>
      </c>
      <c r="G31" s="4">
        <v>5.0</v>
      </c>
      <c r="H31" s="5">
        <v>645.0</v>
      </c>
      <c r="I31" s="6">
        <v>0</v>
      </c>
      <c r="J31" s="6">
        <v>0</v>
      </c>
      <c r="K31" s="6">
        <v>0</v>
      </c>
      <c r="L31" s="6">
        <v>0</v>
      </c>
      <c r="M31" s="12">
        <v>0</v>
      </c>
      <c r="N31" s="6">
        <v>0</v>
      </c>
      <c r="O31" s="6">
        <v>0</v>
      </c>
      <c r="P31" s="6">
        <v>0</v>
      </c>
      <c r="Q31" s="6">
        <v>0</v>
      </c>
      <c r="R31" s="4">
        <v>5.0</v>
      </c>
      <c r="S31" s="5">
        <v>645.0</v>
      </c>
      <c r="T31" s="6">
        <v>0</v>
      </c>
      <c r="U31" s="13" t="s">
        <v>52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51</v>
      </c>
      <c r="E32" s="6">
        <v>0</v>
      </c>
      <c r="F32" s="6">
        <v>0</v>
      </c>
      <c r="G32" s="4">
        <v>2.0</v>
      </c>
      <c r="H32" s="5">
        <v>580.0</v>
      </c>
      <c r="I32" s="6">
        <v>0</v>
      </c>
      <c r="J32" s="6">
        <v>0</v>
      </c>
      <c r="K32" s="4">
        <v>3.818178</v>
      </c>
      <c r="L32" s="5">
        <v>1107.27162</v>
      </c>
      <c r="M32" s="7">
        <v>0.47618995238043</v>
      </c>
      <c r="N32" s="4">
        <v>2.0</v>
      </c>
      <c r="O32" s="4">
        <v>0.272727</v>
      </c>
      <c r="P32" s="6">
        <v>0</v>
      </c>
      <c r="Q32" s="6">
        <v>0</v>
      </c>
      <c r="R32" s="6">
        <v>0</v>
      </c>
      <c r="S32" s="6">
        <v>0</v>
      </c>
      <c r="T32" s="4">
        <v>0.333333</v>
      </c>
      <c r="U32" s="13" t="s">
        <v>52</v>
      </c>
      <c r="V32" s="5">
        <v>580.0</v>
      </c>
      <c r="W32" s="5">
        <v>290.0</v>
      </c>
      <c r="X32" s="5">
        <v>233.64</v>
      </c>
      <c r="Y32" s="5">
        <v>116.82</v>
      </c>
      <c r="Z32" s="5">
        <v>-346.36</v>
      </c>
      <c r="AA32" s="5">
        <v>-173.18</v>
      </c>
      <c r="AB32" s="14">
        <v>-1.482451634994</v>
      </c>
      <c r="AC32" s="4">
        <v>2.0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51</v>
      </c>
      <c r="E33" s="6">
        <v>0</v>
      </c>
      <c r="F33" s="6">
        <v>0</v>
      </c>
      <c r="G33" s="4">
        <v>10.0</v>
      </c>
      <c r="H33" s="5">
        <v>550.0</v>
      </c>
      <c r="I33" s="6">
        <v>0</v>
      </c>
      <c r="J33" s="6">
        <v>0</v>
      </c>
      <c r="K33" s="6">
        <v>0</v>
      </c>
      <c r="L33" s="6">
        <v>0</v>
      </c>
      <c r="M33" s="12">
        <v>0</v>
      </c>
      <c r="N33" s="6">
        <v>0</v>
      </c>
      <c r="O33" s="6">
        <v>0</v>
      </c>
      <c r="P33" s="6">
        <v>0</v>
      </c>
      <c r="Q33" s="6">
        <v>0</v>
      </c>
      <c r="R33" s="4">
        <v>10.0</v>
      </c>
      <c r="S33" s="5">
        <v>550.0</v>
      </c>
      <c r="T33" s="6">
        <v>0</v>
      </c>
      <c r="U33" s="13" t="s">
        <v>52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51</v>
      </c>
      <c r="E34" s="6">
        <v>0</v>
      </c>
      <c r="F34" s="6">
        <v>0</v>
      </c>
      <c r="G34" s="4">
        <v>20.0</v>
      </c>
      <c r="H34" s="5">
        <v>500.0</v>
      </c>
      <c r="I34" s="6">
        <v>0</v>
      </c>
      <c r="J34" s="6">
        <v>0</v>
      </c>
      <c r="K34" s="6">
        <v>0</v>
      </c>
      <c r="L34" s="6">
        <v>0</v>
      </c>
      <c r="M34" s="12">
        <v>0</v>
      </c>
      <c r="N34" s="6">
        <v>0</v>
      </c>
      <c r="O34" s="6">
        <v>0</v>
      </c>
      <c r="P34" s="6">
        <v>0</v>
      </c>
      <c r="Q34" s="6">
        <v>0</v>
      </c>
      <c r="R34" s="4">
        <v>20.0</v>
      </c>
      <c r="S34" s="5">
        <v>500.0</v>
      </c>
      <c r="T34" s="6">
        <v>0</v>
      </c>
      <c r="U34" s="13" t="s">
        <v>52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51</v>
      </c>
      <c r="E35" s="6">
        <v>0</v>
      </c>
      <c r="F35" s="6">
        <v>0</v>
      </c>
      <c r="G35" s="4">
        <v>10.0</v>
      </c>
      <c r="H35" s="5">
        <v>500.0</v>
      </c>
      <c r="I35" s="6">
        <v>0</v>
      </c>
      <c r="J35" s="6">
        <v>0</v>
      </c>
      <c r="K35" s="4">
        <v>1.272726</v>
      </c>
      <c r="L35" s="5">
        <v>63.6363</v>
      </c>
      <c r="M35" s="10">
        <v>-6.8571507142936</v>
      </c>
      <c r="N35" s="4">
        <v>1.0</v>
      </c>
      <c r="O35" s="4">
        <v>0.090909</v>
      </c>
      <c r="P35" s="6">
        <v>0</v>
      </c>
      <c r="Q35" s="6">
        <v>0</v>
      </c>
      <c r="R35" s="4">
        <v>9.0</v>
      </c>
      <c r="S35" s="5">
        <v>450.0</v>
      </c>
      <c r="T35" s="4">
        <v>0.166666</v>
      </c>
      <c r="U35" s="11">
        <v>54.000216000864</v>
      </c>
      <c r="V35" s="5">
        <v>50.0</v>
      </c>
      <c r="W35" s="5">
        <v>50.0</v>
      </c>
      <c r="X35" s="5">
        <v>271.028</v>
      </c>
      <c r="Y35" s="5">
        <v>271.028</v>
      </c>
      <c r="Z35" s="5">
        <v>221.028</v>
      </c>
      <c r="AA35" s="5">
        <v>221.028</v>
      </c>
      <c r="AB35" s="9">
        <v>0.81551721593341</v>
      </c>
      <c r="AC35" s="4">
        <v>1.0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51</v>
      </c>
      <c r="E36" s="6">
        <v>0</v>
      </c>
      <c r="F36" s="6">
        <v>0</v>
      </c>
      <c r="G36" s="4">
        <v>5.0</v>
      </c>
      <c r="H36" s="5">
        <v>450.0</v>
      </c>
      <c r="I36" s="6">
        <v>0</v>
      </c>
      <c r="J36" s="6">
        <v>0</v>
      </c>
      <c r="K36" s="4">
        <v>5.090904</v>
      </c>
      <c r="L36" s="5">
        <v>458.18136</v>
      </c>
      <c r="M36" s="7">
        <v>0.017856160713304</v>
      </c>
      <c r="N36" s="4">
        <v>4.0</v>
      </c>
      <c r="O36" s="4">
        <v>0.363636</v>
      </c>
      <c r="P36" s="4">
        <v>1.0</v>
      </c>
      <c r="Q36" s="4">
        <v>0.5</v>
      </c>
      <c r="R36" s="4">
        <v>1.0</v>
      </c>
      <c r="S36" s="5">
        <v>90.0</v>
      </c>
      <c r="T36" s="4">
        <v>0.833333</v>
      </c>
      <c r="U36" s="8">
        <v>1.2000004800002</v>
      </c>
      <c r="V36" s="5">
        <v>360.0</v>
      </c>
      <c r="W36" s="5">
        <v>90.0</v>
      </c>
      <c r="X36" s="5">
        <v>1308.4</v>
      </c>
      <c r="Y36" s="5">
        <v>327.1</v>
      </c>
      <c r="Z36" s="5">
        <v>948.4</v>
      </c>
      <c r="AA36" s="5">
        <v>237.1</v>
      </c>
      <c r="AB36" s="9">
        <v>0.72485478446958</v>
      </c>
      <c r="AC36" s="4">
        <v>4.0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90.0</v>
      </c>
      <c r="AK36" s="5">
        <v>90.0</v>
      </c>
      <c r="AL36" s="5">
        <v>373.831</v>
      </c>
      <c r="AM36" s="5">
        <v>373.831</v>
      </c>
      <c r="AN36" s="5">
        <v>283.831</v>
      </c>
      <c r="AO36" s="5">
        <v>283.831</v>
      </c>
      <c r="AP36" s="9">
        <v>0.75924950044271</v>
      </c>
      <c r="AQ36" s="4">
        <v>1.0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51</v>
      </c>
      <c r="E37" s="6">
        <v>0</v>
      </c>
      <c r="F37" s="6">
        <v>0</v>
      </c>
      <c r="G37" s="4">
        <v>20.0</v>
      </c>
      <c r="H37" s="5">
        <v>440.0</v>
      </c>
      <c r="I37" s="6">
        <v>0</v>
      </c>
      <c r="J37" s="6">
        <v>0</v>
      </c>
      <c r="K37" s="6">
        <v>0</v>
      </c>
      <c r="L37" s="6">
        <v>0</v>
      </c>
      <c r="M37" s="12">
        <v>0</v>
      </c>
      <c r="N37" s="6">
        <v>0</v>
      </c>
      <c r="O37" s="6">
        <v>0</v>
      </c>
      <c r="P37" s="6">
        <v>0</v>
      </c>
      <c r="Q37" s="6">
        <v>0</v>
      </c>
      <c r="R37" s="4">
        <v>20.0</v>
      </c>
      <c r="S37" s="5">
        <v>440.0</v>
      </c>
      <c r="T37" s="6">
        <v>0</v>
      </c>
      <c r="U37" s="13" t="s">
        <v>52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48</v>
      </c>
      <c r="E38" s="4">
        <v>25.0</v>
      </c>
      <c r="F38" s="5">
        <v>550.0</v>
      </c>
      <c r="G38" s="4">
        <v>20.0</v>
      </c>
      <c r="H38" s="5">
        <v>440.0</v>
      </c>
      <c r="I38" s="6">
        <v>0</v>
      </c>
      <c r="J38" s="6">
        <v>0</v>
      </c>
      <c r="K38" s="4">
        <v>35.636356</v>
      </c>
      <c r="L38" s="5">
        <v>783.999832</v>
      </c>
      <c r="M38" s="7">
        <v>0.43877538994167</v>
      </c>
      <c r="N38" s="4">
        <v>28.0</v>
      </c>
      <c r="O38" s="4">
        <v>2.545454</v>
      </c>
      <c r="P38" s="4">
        <v>2.0</v>
      </c>
      <c r="Q38" s="4">
        <v>1.0</v>
      </c>
      <c r="R38" s="4">
        <v>20.0</v>
      </c>
      <c r="S38" s="5">
        <v>440.0</v>
      </c>
      <c r="T38" s="4">
        <v>4.0</v>
      </c>
      <c r="U38" s="16">
        <v>5.0</v>
      </c>
      <c r="V38" s="5">
        <v>616.0</v>
      </c>
      <c r="W38" s="5">
        <v>22.0</v>
      </c>
      <c r="X38" s="5">
        <v>2266.168</v>
      </c>
      <c r="Y38" s="5">
        <v>80.934571428571</v>
      </c>
      <c r="Z38" s="5">
        <v>1650.168</v>
      </c>
      <c r="AA38" s="5">
        <v>58.934571428571</v>
      </c>
      <c r="AB38" s="9">
        <v>0.72817549272605</v>
      </c>
      <c r="AC38" s="4">
        <v>28.0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44.0</v>
      </c>
      <c r="AK38" s="5">
        <v>22.0</v>
      </c>
      <c r="AL38" s="5">
        <v>18.689</v>
      </c>
      <c r="AM38" s="5">
        <v>9.3445</v>
      </c>
      <c r="AN38" s="5">
        <v>-25.311</v>
      </c>
      <c r="AO38" s="5">
        <v>-12.6555</v>
      </c>
      <c r="AP38" s="14">
        <v>-1.3543260741613</v>
      </c>
      <c r="AQ38" s="4">
        <v>2.0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51</v>
      </c>
      <c r="E39" s="6">
        <v>0</v>
      </c>
      <c r="F39" s="6">
        <v>0</v>
      </c>
      <c r="G39" s="4">
        <v>5.0</v>
      </c>
      <c r="H39" s="5">
        <v>395.0</v>
      </c>
      <c r="I39" s="6">
        <v>0</v>
      </c>
      <c r="J39" s="6">
        <v>0</v>
      </c>
      <c r="K39" s="4">
        <v>1.272726</v>
      </c>
      <c r="L39" s="5">
        <v>100.545354</v>
      </c>
      <c r="M39" s="10">
        <v>-2.9285753571468</v>
      </c>
      <c r="N39" s="4">
        <v>1.0</v>
      </c>
      <c r="O39" s="4">
        <v>0.090909</v>
      </c>
      <c r="P39" s="6">
        <v>0</v>
      </c>
      <c r="Q39" s="6">
        <v>0</v>
      </c>
      <c r="R39" s="4">
        <v>5.0</v>
      </c>
      <c r="S39" s="5">
        <v>395.0</v>
      </c>
      <c r="T39" s="4">
        <v>0.166666</v>
      </c>
      <c r="U39" s="11">
        <v>30.00012000048</v>
      </c>
      <c r="V39" s="5">
        <v>79.0</v>
      </c>
      <c r="W39" s="5">
        <v>79.0</v>
      </c>
      <c r="X39" s="5">
        <v>467.29</v>
      </c>
      <c r="Y39" s="5">
        <v>467.29</v>
      </c>
      <c r="Z39" s="5">
        <v>388.29</v>
      </c>
      <c r="AA39" s="5">
        <v>388.29</v>
      </c>
      <c r="AB39" s="9">
        <v>0.83094010143594</v>
      </c>
      <c r="AC39" s="4">
        <v>1.0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48</v>
      </c>
      <c r="E40" s="6">
        <v>0</v>
      </c>
      <c r="F40" s="6">
        <v>0</v>
      </c>
      <c r="G40" s="4">
        <v>20.0</v>
      </c>
      <c r="H40" s="5">
        <v>380.0</v>
      </c>
      <c r="I40" s="6">
        <v>0</v>
      </c>
      <c r="J40" s="6">
        <v>0</v>
      </c>
      <c r="K40" s="4">
        <v>35.636356</v>
      </c>
      <c r="L40" s="5">
        <v>677.090764</v>
      </c>
      <c r="M40" s="7">
        <v>0.43877538994167</v>
      </c>
      <c r="N40" s="4">
        <v>28.0</v>
      </c>
      <c r="O40" s="4">
        <v>2.545454</v>
      </c>
      <c r="P40" s="4">
        <v>5.0</v>
      </c>
      <c r="Q40" s="4">
        <v>2.5</v>
      </c>
      <c r="R40" s="4">
        <v>16.0</v>
      </c>
      <c r="S40" s="5">
        <v>304.0</v>
      </c>
      <c r="T40" s="4">
        <v>4.666666</v>
      </c>
      <c r="U40" s="8">
        <v>3.4285719183674</v>
      </c>
      <c r="V40" s="5">
        <v>472.0</v>
      </c>
      <c r="W40" s="5">
        <v>16.857142857143</v>
      </c>
      <c r="X40" s="5">
        <v>1532.77</v>
      </c>
      <c r="Y40" s="5">
        <v>54.741785714286</v>
      </c>
      <c r="Z40" s="5">
        <v>1060.77</v>
      </c>
      <c r="AA40" s="5">
        <v>37.884642857143</v>
      </c>
      <c r="AB40" s="9">
        <v>0.69206077885136</v>
      </c>
      <c r="AC40" s="4">
        <v>28.0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95.0</v>
      </c>
      <c r="AK40" s="5">
        <v>19.0</v>
      </c>
      <c r="AL40" s="5">
        <v>579.437</v>
      </c>
      <c r="AM40" s="5">
        <v>115.8874</v>
      </c>
      <c r="AN40" s="5">
        <v>484.437</v>
      </c>
      <c r="AO40" s="5">
        <v>96.8874</v>
      </c>
      <c r="AP40" s="9">
        <v>0.83604774979851</v>
      </c>
      <c r="AQ40" s="4">
        <v>5.0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51</v>
      </c>
      <c r="E41" s="6">
        <v>0</v>
      </c>
      <c r="F41" s="6">
        <v>0</v>
      </c>
      <c r="G41" s="4">
        <v>19.0</v>
      </c>
      <c r="H41" s="5">
        <v>380.0</v>
      </c>
      <c r="I41" s="6">
        <v>0</v>
      </c>
      <c r="J41" s="6">
        <v>0</v>
      </c>
      <c r="K41" s="6">
        <v>0</v>
      </c>
      <c r="L41" s="6">
        <v>0</v>
      </c>
      <c r="M41" s="12">
        <v>0</v>
      </c>
      <c r="N41" s="6">
        <v>0</v>
      </c>
      <c r="O41" s="6">
        <v>0</v>
      </c>
      <c r="P41" s="6">
        <v>0</v>
      </c>
      <c r="Q41" s="6">
        <v>0</v>
      </c>
      <c r="R41" s="4">
        <v>19.0</v>
      </c>
      <c r="S41" s="5">
        <v>380.0</v>
      </c>
      <c r="T41" s="6">
        <v>0</v>
      </c>
      <c r="U41" s="13" t="s">
        <v>52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48</v>
      </c>
      <c r="E42" s="6">
        <v>0</v>
      </c>
      <c r="F42" s="6">
        <v>0</v>
      </c>
      <c r="G42" s="4">
        <v>3.0</v>
      </c>
      <c r="H42" s="5">
        <v>240.0</v>
      </c>
      <c r="I42" s="6">
        <v>0</v>
      </c>
      <c r="J42" s="6">
        <v>0</v>
      </c>
      <c r="K42" s="4">
        <v>5.090904</v>
      </c>
      <c r="L42" s="5">
        <v>407.27232</v>
      </c>
      <c r="M42" s="7">
        <v>0.41071369642798</v>
      </c>
      <c r="N42" s="4">
        <v>4.0</v>
      </c>
      <c r="O42" s="4">
        <v>0.363636</v>
      </c>
      <c r="P42" s="6">
        <v>0</v>
      </c>
      <c r="Q42" s="6">
        <v>0</v>
      </c>
      <c r="R42" s="4">
        <v>49.0</v>
      </c>
      <c r="S42" s="5">
        <v>3920.0</v>
      </c>
      <c r="T42" s="4">
        <v>0.666666</v>
      </c>
      <c r="U42" s="11">
        <v>73.500073500073</v>
      </c>
      <c r="V42" s="5">
        <v>320.0</v>
      </c>
      <c r="W42" s="5">
        <v>80.0</v>
      </c>
      <c r="X42" s="5">
        <v>473.645</v>
      </c>
      <c r="Y42" s="5">
        <v>118.41125</v>
      </c>
      <c r="Z42" s="5">
        <v>153.645</v>
      </c>
      <c r="AA42" s="5">
        <v>38.41125</v>
      </c>
      <c r="AB42" s="9">
        <v>0.32438851882739</v>
      </c>
      <c r="AC42" s="4">
        <v>4.0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51</v>
      </c>
      <c r="E43" s="6">
        <v>0</v>
      </c>
      <c r="F43" s="6">
        <v>0</v>
      </c>
      <c r="G43" s="4">
        <v>2.0</v>
      </c>
      <c r="H43" s="5">
        <v>170.0</v>
      </c>
      <c r="I43" s="6">
        <v>0</v>
      </c>
      <c r="J43" s="6">
        <v>0</v>
      </c>
      <c r="K43" s="4">
        <v>2.545452</v>
      </c>
      <c r="L43" s="5">
        <v>216.36342</v>
      </c>
      <c r="M43" s="7">
        <v>0.21428492857064</v>
      </c>
      <c r="N43" s="4">
        <v>2.0</v>
      </c>
      <c r="O43" s="4">
        <v>0.181818</v>
      </c>
      <c r="P43" s="6">
        <v>0</v>
      </c>
      <c r="Q43" s="6">
        <v>0</v>
      </c>
      <c r="R43" s="6">
        <v>0</v>
      </c>
      <c r="S43" s="6">
        <v>0</v>
      </c>
      <c r="T43" s="4">
        <v>0.333333</v>
      </c>
      <c r="U43" s="13" t="s">
        <v>52</v>
      </c>
      <c r="V43" s="5">
        <v>170.0</v>
      </c>
      <c r="W43" s="5">
        <v>85.0</v>
      </c>
      <c r="X43" s="5">
        <v>670.25</v>
      </c>
      <c r="Y43" s="5">
        <v>335.125</v>
      </c>
      <c r="Z43" s="5">
        <v>500.25</v>
      </c>
      <c r="AA43" s="5">
        <v>250.125</v>
      </c>
      <c r="AB43" s="9">
        <v>0.74636329727714</v>
      </c>
      <c r="AC43" s="4">
        <v>2.0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51</v>
      </c>
      <c r="E44" s="6">
        <v>0</v>
      </c>
      <c r="F44" s="6">
        <v>0</v>
      </c>
      <c r="G44" s="4">
        <v>5.0</v>
      </c>
      <c r="H44" s="5">
        <v>125.0</v>
      </c>
      <c r="I44" s="6">
        <v>0</v>
      </c>
      <c r="J44" s="6">
        <v>0</v>
      </c>
      <c r="K44" s="6">
        <v>0</v>
      </c>
      <c r="L44" s="6">
        <v>0</v>
      </c>
      <c r="M44" s="12">
        <v>0</v>
      </c>
      <c r="N44" s="6">
        <v>0</v>
      </c>
      <c r="O44" s="6">
        <v>0</v>
      </c>
      <c r="P44" s="6">
        <v>0</v>
      </c>
      <c r="Q44" s="6">
        <v>0</v>
      </c>
      <c r="R44" s="4">
        <v>5.0</v>
      </c>
      <c r="S44" s="5">
        <v>125.0</v>
      </c>
      <c r="T44" s="6">
        <v>0</v>
      </c>
      <c r="U44" s="13" t="s">
        <v>52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3">
        <v>0</v>
      </c>
      <c r="AC44" s="6">
        <v>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51</v>
      </c>
      <c r="E45" s="6">
        <v>0</v>
      </c>
      <c r="F45" s="6">
        <v>0</v>
      </c>
      <c r="G45" s="4">
        <v>5.0</v>
      </c>
      <c r="H45" s="5">
        <v>125.0</v>
      </c>
      <c r="I45" s="6">
        <v>0</v>
      </c>
      <c r="J45" s="6">
        <v>0</v>
      </c>
      <c r="K45" s="6">
        <v>0</v>
      </c>
      <c r="L45" s="6">
        <v>0</v>
      </c>
      <c r="M45" s="12">
        <v>0</v>
      </c>
      <c r="N45" s="6">
        <v>0</v>
      </c>
      <c r="O45" s="6">
        <v>0</v>
      </c>
      <c r="P45" s="6">
        <v>0</v>
      </c>
      <c r="Q45" s="6">
        <v>0</v>
      </c>
      <c r="R45" s="4">
        <v>5.0</v>
      </c>
      <c r="S45" s="5">
        <v>125.0</v>
      </c>
      <c r="T45" s="6">
        <v>0</v>
      </c>
      <c r="U45" s="13" t="s">
        <v>52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3">
        <v>0</v>
      </c>
      <c r="AC45" s="6">
        <v>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51</v>
      </c>
      <c r="E46" s="6">
        <v>0</v>
      </c>
      <c r="F46" s="6">
        <v>0</v>
      </c>
      <c r="G46" s="4">
        <v>1.0</v>
      </c>
      <c r="H46" s="5">
        <v>105.0</v>
      </c>
      <c r="I46" s="6">
        <v>0</v>
      </c>
      <c r="J46" s="6">
        <v>0</v>
      </c>
      <c r="K46" s="4">
        <v>1.272726</v>
      </c>
      <c r="L46" s="5">
        <v>133.63623</v>
      </c>
      <c r="M46" s="7">
        <v>0.21428492857064</v>
      </c>
      <c r="N46" s="4">
        <v>1.0</v>
      </c>
      <c r="O46" s="4">
        <v>0.090909</v>
      </c>
      <c r="P46" s="6">
        <v>0</v>
      </c>
      <c r="Q46" s="6">
        <v>0</v>
      </c>
      <c r="R46" s="6">
        <v>0</v>
      </c>
      <c r="S46" s="6">
        <v>0</v>
      </c>
      <c r="T46" s="4">
        <v>0.166666</v>
      </c>
      <c r="U46" s="13" t="s">
        <v>52</v>
      </c>
      <c r="V46" s="5">
        <v>105.0</v>
      </c>
      <c r="W46" s="5">
        <v>105.0</v>
      </c>
      <c r="X46" s="5">
        <v>420.561</v>
      </c>
      <c r="Y46" s="5">
        <v>420.561</v>
      </c>
      <c r="Z46" s="5">
        <v>315.561</v>
      </c>
      <c r="AA46" s="5">
        <v>315.561</v>
      </c>
      <c r="AB46" s="9">
        <v>0.75033348313324</v>
      </c>
      <c r="AC46" s="4">
        <v>1.0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51</v>
      </c>
      <c r="E47" s="6">
        <v>0</v>
      </c>
      <c r="F47" s="6">
        <v>0</v>
      </c>
      <c r="G47" s="4">
        <v>1.0</v>
      </c>
      <c r="H47" s="5">
        <v>50.0</v>
      </c>
      <c r="I47" s="6">
        <v>0</v>
      </c>
      <c r="J47" s="6">
        <v>0</v>
      </c>
      <c r="K47" s="4">
        <v>1.272726</v>
      </c>
      <c r="L47" s="5">
        <v>63.6363</v>
      </c>
      <c r="M47" s="7">
        <v>0.21428492857064</v>
      </c>
      <c r="N47" s="4">
        <v>1.0</v>
      </c>
      <c r="O47" s="4">
        <v>0.090909</v>
      </c>
      <c r="P47" s="6">
        <v>0</v>
      </c>
      <c r="Q47" s="6">
        <v>0</v>
      </c>
      <c r="R47" s="6">
        <v>0</v>
      </c>
      <c r="S47" s="6">
        <v>0</v>
      </c>
      <c r="T47" s="4">
        <v>0.166666</v>
      </c>
      <c r="U47" s="13" t="s">
        <v>52</v>
      </c>
      <c r="V47" s="5">
        <v>50.0</v>
      </c>
      <c r="W47" s="5">
        <v>50.0</v>
      </c>
      <c r="X47" s="5">
        <v>140.187</v>
      </c>
      <c r="Y47" s="5">
        <v>140.187</v>
      </c>
      <c r="Z47" s="5">
        <v>90.187</v>
      </c>
      <c r="AA47" s="5">
        <v>90.187</v>
      </c>
      <c r="AB47" s="9">
        <v>0.6433335473332</v>
      </c>
      <c r="AC47" s="4">
        <v>1.0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140</v>
      </c>
      <c r="E48" s="4">
        <v>64.0</v>
      </c>
      <c r="F48" s="5">
        <v>12800.0</v>
      </c>
      <c r="G48" s="6">
        <v>0</v>
      </c>
      <c r="H48" s="6">
        <v>0</v>
      </c>
      <c r="I48" s="6">
        <v>0</v>
      </c>
      <c r="J48" s="6">
        <v>0</v>
      </c>
      <c r="K48" s="4">
        <v>11.454534</v>
      </c>
      <c r="L48" s="5">
        <v>2290.9068</v>
      </c>
      <c r="M48" s="7">
        <v>1.0</v>
      </c>
      <c r="N48" s="4">
        <v>7.0</v>
      </c>
      <c r="O48" s="4">
        <v>0.818181</v>
      </c>
      <c r="P48" s="6">
        <v>0</v>
      </c>
      <c r="Q48" s="6">
        <v>0</v>
      </c>
      <c r="R48" s="6">
        <v>0</v>
      </c>
      <c r="S48" s="6">
        <v>0</v>
      </c>
      <c r="T48" s="4">
        <v>0.166666</v>
      </c>
      <c r="U48" s="13" t="s">
        <v>52</v>
      </c>
      <c r="V48" s="5">
        <v>1400.0</v>
      </c>
      <c r="W48" s="5">
        <v>200.0</v>
      </c>
      <c r="X48" s="5">
        <v>2593.458</v>
      </c>
      <c r="Y48" s="5">
        <v>370.494</v>
      </c>
      <c r="Z48" s="5">
        <v>1193.458</v>
      </c>
      <c r="AA48" s="5">
        <v>170.494</v>
      </c>
      <c r="AB48" s="9">
        <v>0.46018019185196</v>
      </c>
      <c r="AC48" s="4">
        <v>7.0</v>
      </c>
      <c r="AD48" s="4">
        <v>1.0</v>
      </c>
      <c r="AE48" s="6">
        <v>0</v>
      </c>
      <c r="AF48" s="6">
        <v>0</v>
      </c>
      <c r="AG48" s="3">
        <v>0</v>
      </c>
      <c r="AH48" s="4">
        <v>1.0</v>
      </c>
      <c r="AI48" s="5">
        <v>200.0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4">
        <v>1.0</v>
      </c>
      <c r="AS48" s="6">
        <v>0</v>
      </c>
      <c r="AT48" s="6">
        <v>0</v>
      </c>
      <c r="AU48" s="3">
        <v>0</v>
      </c>
      <c r="AV48" s="4">
        <v>1.0</v>
      </c>
      <c r="AW48" s="5">
        <v>200.0</v>
      </c>
    </row>
    <row r="49" spans="1:49">
      <c r="A49" s="3">
        <v>47</v>
      </c>
      <c r="B49" s="3" t="s">
        <v>141</v>
      </c>
      <c r="C49" t="s">
        <v>142</v>
      </c>
      <c r="D49" s="3" t="s">
        <v>143</v>
      </c>
      <c r="E49" s="4">
        <v>10.0</v>
      </c>
      <c r="F49" s="5">
        <v>2290.0</v>
      </c>
      <c r="G49" s="6">
        <v>0</v>
      </c>
      <c r="H49" s="6">
        <v>0</v>
      </c>
      <c r="I49" s="6">
        <v>0</v>
      </c>
      <c r="J49" s="6">
        <v>0</v>
      </c>
      <c r="K49" s="4">
        <v>77.636356</v>
      </c>
      <c r="L49" s="5">
        <v>17778.725524</v>
      </c>
      <c r="M49" s="7">
        <v>1.0</v>
      </c>
      <c r="N49" s="4">
        <v>61.0</v>
      </c>
      <c r="O49" s="4">
        <v>5.545454</v>
      </c>
      <c r="P49" s="6">
        <v>0</v>
      </c>
      <c r="Q49" s="6">
        <v>0</v>
      </c>
      <c r="R49" s="4">
        <v>1.0</v>
      </c>
      <c r="S49" s="5">
        <v>229.0</v>
      </c>
      <c r="T49" s="4">
        <v>8.5</v>
      </c>
      <c r="U49" s="8">
        <v>0.11764705882353</v>
      </c>
      <c r="V49" s="5">
        <v>14165.28</v>
      </c>
      <c r="W49" s="5">
        <v>232.21770491803</v>
      </c>
      <c r="X49" s="5">
        <v>28994.103</v>
      </c>
      <c r="Y49" s="5">
        <v>475.31316393443</v>
      </c>
      <c r="Z49" s="5">
        <v>14828.823</v>
      </c>
      <c r="AA49" s="5">
        <v>243.09545901639</v>
      </c>
      <c r="AB49" s="9">
        <v>0.51144272337034</v>
      </c>
      <c r="AC49" s="4">
        <v>61.0</v>
      </c>
      <c r="AD49" s="4">
        <v>1.0</v>
      </c>
      <c r="AE49" s="6">
        <v>0</v>
      </c>
      <c r="AF49" s="6">
        <v>0</v>
      </c>
      <c r="AG49" s="3">
        <v>0</v>
      </c>
      <c r="AH49" s="4">
        <v>3.0</v>
      </c>
      <c r="AI49" s="5">
        <v>687.0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4">
        <v>2.0</v>
      </c>
      <c r="AS49" s="6">
        <v>0</v>
      </c>
      <c r="AT49" s="6">
        <v>0</v>
      </c>
      <c r="AU49" s="3">
        <v>0</v>
      </c>
      <c r="AV49" s="4">
        <v>3.0</v>
      </c>
      <c r="AW49" s="5">
        <v>687.0</v>
      </c>
    </row>
    <row r="50" spans="1:49">
      <c r="A50" s="3">
        <v>48</v>
      </c>
      <c r="B50" s="3" t="s">
        <v>144</v>
      </c>
      <c r="C50" t="s">
        <v>145</v>
      </c>
      <c r="D50" s="3" t="s">
        <v>143</v>
      </c>
      <c r="E50" s="4">
        <v>5.0</v>
      </c>
      <c r="F50" s="5">
        <v>695.0</v>
      </c>
      <c r="G50" s="6">
        <v>0</v>
      </c>
      <c r="H50" s="6">
        <v>0</v>
      </c>
      <c r="I50" s="4">
        <v>5.0</v>
      </c>
      <c r="J50" s="5">
        <v>295.0</v>
      </c>
      <c r="K50" s="4">
        <v>12.72726</v>
      </c>
      <c r="L50" s="5">
        <v>750.90834</v>
      </c>
      <c r="M50" s="7">
        <v>1.0</v>
      </c>
      <c r="N50" s="4">
        <v>10.0</v>
      </c>
      <c r="O50" s="4">
        <v>0.90909</v>
      </c>
      <c r="P50" s="4">
        <v>2.0</v>
      </c>
      <c r="Q50" s="4">
        <v>1.0</v>
      </c>
      <c r="R50" s="4">
        <v>4.0</v>
      </c>
      <c r="S50" s="5">
        <v>236.0</v>
      </c>
      <c r="T50" s="4">
        <v>1.833333</v>
      </c>
      <c r="U50" s="8">
        <v>2.1818185785125</v>
      </c>
      <c r="V50" s="5">
        <v>1270.0</v>
      </c>
      <c r="W50" s="5">
        <v>127.0</v>
      </c>
      <c r="X50" s="5">
        <v>2327.116</v>
      </c>
      <c r="Y50" s="5">
        <v>232.7116</v>
      </c>
      <c r="Z50" s="5">
        <v>1057.116</v>
      </c>
      <c r="AA50" s="5">
        <v>105.7116</v>
      </c>
      <c r="AB50" s="9">
        <v>0.45426012283015</v>
      </c>
      <c r="AC50" s="4">
        <v>10.0</v>
      </c>
      <c r="AD50" s="4">
        <v>4.0</v>
      </c>
      <c r="AE50" s="6">
        <v>0</v>
      </c>
      <c r="AF50" s="6">
        <v>0</v>
      </c>
      <c r="AG50" s="3">
        <v>0</v>
      </c>
      <c r="AH50" s="4">
        <v>2.0</v>
      </c>
      <c r="AI50" s="5">
        <v>118.0</v>
      </c>
      <c r="AJ50" s="5">
        <v>198.0</v>
      </c>
      <c r="AK50" s="5">
        <v>99.0</v>
      </c>
      <c r="AL50" s="5">
        <v>560.748</v>
      </c>
      <c r="AM50" s="5">
        <v>280.374</v>
      </c>
      <c r="AN50" s="5">
        <v>362.748</v>
      </c>
      <c r="AO50" s="5">
        <v>181.374</v>
      </c>
      <c r="AP50" s="9">
        <v>0.64690021185987</v>
      </c>
      <c r="AQ50" s="4">
        <v>2.0</v>
      </c>
      <c r="AR50" s="4">
        <v>2.0</v>
      </c>
      <c r="AS50" s="6">
        <v>0</v>
      </c>
      <c r="AT50" s="6">
        <v>0</v>
      </c>
      <c r="AU50" s="3">
        <v>0</v>
      </c>
      <c r="AV50" s="4">
        <v>2.0</v>
      </c>
      <c r="AW50" s="5">
        <v>118.0</v>
      </c>
    </row>
    <row r="51" spans="1:49">
      <c r="A51" s="3">
        <v>49</v>
      </c>
      <c r="B51" s="3" t="s">
        <v>146</v>
      </c>
      <c r="C51" t="s">
        <v>147</v>
      </c>
      <c r="D51" s="3" t="s">
        <v>51</v>
      </c>
      <c r="E51" s="4">
        <v>7.0</v>
      </c>
      <c r="F51" s="5">
        <v>1330.0</v>
      </c>
      <c r="G51" s="6">
        <v>0</v>
      </c>
      <c r="H51" s="6">
        <v>0</v>
      </c>
      <c r="I51" s="6">
        <v>0</v>
      </c>
      <c r="J51" s="6">
        <v>0</v>
      </c>
      <c r="K51" s="4">
        <v>1.272726</v>
      </c>
      <c r="L51" s="5">
        <v>241.81794</v>
      </c>
      <c r="M51" s="7">
        <v>1.0</v>
      </c>
      <c r="N51" s="4">
        <v>1.0</v>
      </c>
      <c r="O51" s="4">
        <v>0.090909</v>
      </c>
      <c r="P51" s="4">
        <v>20.0</v>
      </c>
      <c r="Q51" s="4">
        <v>10.0</v>
      </c>
      <c r="R51" s="4">
        <v>10.0</v>
      </c>
      <c r="S51" s="5">
        <v>1900.0</v>
      </c>
      <c r="T51" s="4">
        <v>3.333333</v>
      </c>
      <c r="U51" s="8">
        <v>3.0000003</v>
      </c>
      <c r="V51" s="5">
        <v>190.0</v>
      </c>
      <c r="W51" s="5">
        <v>190.0</v>
      </c>
      <c r="X51" s="5">
        <v>373.832</v>
      </c>
      <c r="Y51" s="5">
        <v>373.832</v>
      </c>
      <c r="Z51" s="5">
        <v>183.832</v>
      </c>
      <c r="AA51" s="5">
        <v>183.832</v>
      </c>
      <c r="AB51" s="9">
        <v>0.49175030494982</v>
      </c>
      <c r="AC51" s="4">
        <v>1.0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3800.0</v>
      </c>
      <c r="AK51" s="5">
        <v>190.0</v>
      </c>
      <c r="AL51" s="5">
        <v>5607.4</v>
      </c>
      <c r="AM51" s="5">
        <v>280.37</v>
      </c>
      <c r="AN51" s="5">
        <v>1807.4</v>
      </c>
      <c r="AO51" s="5">
        <v>90.37</v>
      </c>
      <c r="AP51" s="9">
        <v>0.32232407176231</v>
      </c>
      <c r="AQ51" s="4">
        <v>20.0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51</v>
      </c>
      <c r="E52" s="4">
        <v>10.0</v>
      </c>
      <c r="F52" s="5">
        <v>100.0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2">
        <v>0</v>
      </c>
      <c r="N52" s="6">
        <v>0</v>
      </c>
      <c r="O52" s="6">
        <v>0</v>
      </c>
      <c r="P52" s="6">
        <v>0</v>
      </c>
      <c r="Q52" s="6">
        <v>0</v>
      </c>
      <c r="R52" s="4">
        <v>10.0</v>
      </c>
      <c r="S52" s="5">
        <v>100.0</v>
      </c>
      <c r="T52" s="6">
        <v>0</v>
      </c>
      <c r="U52" s="13" t="s">
        <v>52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51</v>
      </c>
      <c r="E53" s="4">
        <v>50.0</v>
      </c>
      <c r="F53" s="5">
        <v>3500.0</v>
      </c>
      <c r="G53" s="6">
        <v>0</v>
      </c>
      <c r="H53" s="6">
        <v>0</v>
      </c>
      <c r="I53" s="6">
        <v>0</v>
      </c>
      <c r="J53" s="6">
        <v>0</v>
      </c>
      <c r="K53" s="4">
        <v>62.36363</v>
      </c>
      <c r="L53" s="5">
        <v>4365.4541</v>
      </c>
      <c r="M53" s="7">
        <v>1.0</v>
      </c>
      <c r="N53" s="4">
        <v>49.0</v>
      </c>
      <c r="O53" s="4">
        <v>4.454545</v>
      </c>
      <c r="P53" s="6">
        <v>0</v>
      </c>
      <c r="Q53" s="4">
        <v>1.0</v>
      </c>
      <c r="R53" s="4">
        <v>12.0</v>
      </c>
      <c r="S53" s="5">
        <v>840.0</v>
      </c>
      <c r="T53" s="4">
        <v>6.833333</v>
      </c>
      <c r="U53" s="8">
        <v>1.7560976466389</v>
      </c>
      <c r="V53" s="5">
        <v>2956.309</v>
      </c>
      <c r="W53" s="5">
        <v>60.332836734694</v>
      </c>
      <c r="X53" s="5">
        <v>7852.344</v>
      </c>
      <c r="Y53" s="5">
        <v>160.25191836735</v>
      </c>
      <c r="Z53" s="5">
        <v>4896.035</v>
      </c>
      <c r="AA53" s="5">
        <v>99.919081632653</v>
      </c>
      <c r="AB53" s="9">
        <v>0.62351254606268</v>
      </c>
      <c r="AC53" s="4">
        <v>49.0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5">
        <v>-117.758</v>
      </c>
      <c r="AM53" s="6">
        <v>0</v>
      </c>
      <c r="AN53" s="5">
        <v>-117.758</v>
      </c>
      <c r="AO53" s="6">
        <v>0</v>
      </c>
      <c r="AP53" s="15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140</v>
      </c>
      <c r="E54" s="4">
        <v>130.0</v>
      </c>
      <c r="F54" s="5">
        <v>7970.0</v>
      </c>
      <c r="G54" s="6">
        <v>0</v>
      </c>
      <c r="H54" s="6">
        <v>0</v>
      </c>
      <c r="I54" s="6">
        <v>0</v>
      </c>
      <c r="J54" s="6">
        <v>0</v>
      </c>
      <c r="K54" s="4">
        <v>15.272726</v>
      </c>
      <c r="L54" s="5">
        <v>1053.818094</v>
      </c>
      <c r="M54" s="7">
        <v>1.0</v>
      </c>
      <c r="N54" s="4">
        <v>-3.0</v>
      </c>
      <c r="O54" s="4">
        <v>1.090909</v>
      </c>
      <c r="P54" s="6">
        <v>0</v>
      </c>
      <c r="Q54" s="6">
        <v>0</v>
      </c>
      <c r="R54" s="4">
        <v>27.0</v>
      </c>
      <c r="S54" s="5">
        <v>1863.0</v>
      </c>
      <c r="T54" s="4">
        <v>-0.5</v>
      </c>
      <c r="U54" s="13" t="s">
        <v>52</v>
      </c>
      <c r="V54" s="5">
        <v>-124.703</v>
      </c>
      <c r="W54" s="6">
        <v>0</v>
      </c>
      <c r="X54" s="5">
        <v>-299.068</v>
      </c>
      <c r="Y54" s="6">
        <v>0</v>
      </c>
      <c r="Z54" s="5">
        <v>-174.365</v>
      </c>
      <c r="AA54" s="6">
        <v>0</v>
      </c>
      <c r="AB54" s="15">
        <v>0</v>
      </c>
      <c r="AC54" s="4">
        <v>-3.0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71</v>
      </c>
      <c r="E55" s="4">
        <v>350.0</v>
      </c>
      <c r="F55" s="5">
        <v>10500.0</v>
      </c>
      <c r="G55" s="6">
        <v>0</v>
      </c>
      <c r="H55" s="6">
        <v>0</v>
      </c>
      <c r="I55" s="6">
        <v>0</v>
      </c>
      <c r="J55" s="6">
        <v>0</v>
      </c>
      <c r="K55" s="4">
        <v>319.454534</v>
      </c>
      <c r="L55" s="5">
        <v>9583.63602</v>
      </c>
      <c r="M55" s="7">
        <v>1.0</v>
      </c>
      <c r="N55" s="4">
        <v>251.0</v>
      </c>
      <c r="O55" s="4">
        <v>22.818181</v>
      </c>
      <c r="P55" s="4">
        <v>3.0</v>
      </c>
      <c r="Q55" s="4">
        <v>1.5</v>
      </c>
      <c r="R55" s="4">
        <v>876.0</v>
      </c>
      <c r="S55" s="5">
        <v>26280.0</v>
      </c>
      <c r="T55" s="4">
        <v>39.166666</v>
      </c>
      <c r="U55" s="11">
        <v>22.365957827506</v>
      </c>
      <c r="V55" s="5">
        <v>7237.598</v>
      </c>
      <c r="W55" s="5">
        <v>28.835051792829</v>
      </c>
      <c r="X55" s="5">
        <v>13429.96</v>
      </c>
      <c r="Y55" s="5">
        <v>53.505816733068</v>
      </c>
      <c r="Z55" s="5">
        <v>6192.362</v>
      </c>
      <c r="AA55" s="5">
        <v>24.670764940239</v>
      </c>
      <c r="AB55" s="9">
        <v>0.46108566220599</v>
      </c>
      <c r="AC55" s="4">
        <v>251.0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5">
        <v>85.63</v>
      </c>
      <c r="AK55" s="5">
        <v>28.543333333333</v>
      </c>
      <c r="AL55" s="5">
        <v>261.683</v>
      </c>
      <c r="AM55" s="5">
        <v>87.227666666667</v>
      </c>
      <c r="AN55" s="5">
        <v>176.053</v>
      </c>
      <c r="AO55" s="5">
        <v>58.684333333333</v>
      </c>
      <c r="AP55" s="9">
        <v>0.67277201805238</v>
      </c>
      <c r="AQ55" s="4">
        <v>3.0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140</v>
      </c>
      <c r="E56" s="4">
        <v>110.0</v>
      </c>
      <c r="F56" s="5">
        <v>7590.0</v>
      </c>
      <c r="G56" s="6">
        <v>0</v>
      </c>
      <c r="H56" s="6">
        <v>0</v>
      </c>
      <c r="I56" s="6">
        <v>0</v>
      </c>
      <c r="J56" s="6">
        <v>0</v>
      </c>
      <c r="K56" s="4">
        <v>25.454534</v>
      </c>
      <c r="L56" s="5">
        <v>1756.362846</v>
      </c>
      <c r="M56" s="7">
        <v>1.0</v>
      </c>
      <c r="N56" s="4">
        <v>-2.0</v>
      </c>
      <c r="O56" s="4">
        <v>1.818181</v>
      </c>
      <c r="P56" s="6">
        <v>0</v>
      </c>
      <c r="Q56" s="6">
        <v>0</v>
      </c>
      <c r="R56" s="4">
        <v>1.0</v>
      </c>
      <c r="S56" s="5">
        <v>69.0</v>
      </c>
      <c r="T56" s="4">
        <v>-0.333333</v>
      </c>
      <c r="U56" s="13" t="s">
        <v>52</v>
      </c>
      <c r="V56" s="5">
        <v>-138.0</v>
      </c>
      <c r="W56" s="6">
        <v>0</v>
      </c>
      <c r="X56" s="5">
        <v>-37.3</v>
      </c>
      <c r="Y56" s="6">
        <v>0</v>
      </c>
      <c r="Z56" s="5">
        <v>100.7</v>
      </c>
      <c r="AA56" s="6">
        <v>0</v>
      </c>
      <c r="AB56" s="17">
        <v>-2.6997319034853</v>
      </c>
      <c r="AC56" s="4">
        <v>-2.0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51</v>
      </c>
      <c r="E57" s="6">
        <v>0</v>
      </c>
      <c r="F57" s="6">
        <v>0</v>
      </c>
      <c r="G57" s="6">
        <v>0</v>
      </c>
      <c r="H57" s="6">
        <v>0</v>
      </c>
      <c r="I57" s="4">
        <v>20.0</v>
      </c>
      <c r="J57" s="5">
        <v>8560.0</v>
      </c>
      <c r="K57" s="4">
        <v>12.72726</v>
      </c>
      <c r="L57" s="5">
        <v>5447.26728</v>
      </c>
      <c r="M57" s="7">
        <v>1.0</v>
      </c>
      <c r="N57" s="4">
        <v>10.0</v>
      </c>
      <c r="O57" s="4">
        <v>0.90909</v>
      </c>
      <c r="P57" s="4">
        <v>3.0</v>
      </c>
      <c r="Q57" s="4">
        <v>1.5</v>
      </c>
      <c r="R57" s="4">
        <v>1.0</v>
      </c>
      <c r="S57" s="5">
        <v>428.0</v>
      </c>
      <c r="T57" s="4">
        <v>2.166666</v>
      </c>
      <c r="U57" s="8">
        <v>0.46153860355034</v>
      </c>
      <c r="V57" s="6">
        <v>0</v>
      </c>
      <c r="W57" s="5">
        <v>0.0</v>
      </c>
      <c r="X57" s="5">
        <v>5140.1</v>
      </c>
      <c r="Y57" s="5">
        <v>514.01</v>
      </c>
      <c r="Z57" s="5">
        <v>5140.1</v>
      </c>
      <c r="AA57" s="5">
        <v>514.01</v>
      </c>
      <c r="AB57" s="9">
        <v>1.0</v>
      </c>
      <c r="AC57" s="4">
        <v>10.0</v>
      </c>
      <c r="AD57" s="4">
        <v>1.0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5">
        <v>855.999</v>
      </c>
      <c r="AK57" s="5">
        <v>285.333</v>
      </c>
      <c r="AL57" s="5">
        <v>1542.06</v>
      </c>
      <c r="AM57" s="5">
        <v>514.02</v>
      </c>
      <c r="AN57" s="5">
        <v>686.061</v>
      </c>
      <c r="AO57" s="5">
        <v>228.687</v>
      </c>
      <c r="AP57" s="9">
        <v>0.4448990311661</v>
      </c>
      <c r="AQ57" s="4">
        <v>3.0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51</v>
      </c>
      <c r="E58" s="4">
        <v>2.0</v>
      </c>
      <c r="F58" s="5">
        <v>1278.0</v>
      </c>
      <c r="G58" s="6">
        <v>0</v>
      </c>
      <c r="H58" s="6">
        <v>0</v>
      </c>
      <c r="I58" s="6">
        <v>0</v>
      </c>
      <c r="J58" s="6">
        <v>0</v>
      </c>
      <c r="K58" s="4">
        <v>5.090904</v>
      </c>
      <c r="L58" s="5">
        <v>3253.087656</v>
      </c>
      <c r="M58" s="7">
        <v>1.0</v>
      </c>
      <c r="N58" s="4">
        <v>4.0</v>
      </c>
      <c r="O58" s="4">
        <v>0.363636</v>
      </c>
      <c r="P58" s="4">
        <v>1.0</v>
      </c>
      <c r="Q58" s="4">
        <v>0.5</v>
      </c>
      <c r="R58" s="4">
        <v>2.0</v>
      </c>
      <c r="S58" s="5">
        <v>1278.0</v>
      </c>
      <c r="T58" s="4">
        <v>0.5</v>
      </c>
      <c r="U58" s="8">
        <v>4.0</v>
      </c>
      <c r="V58" s="5">
        <v>2556.0</v>
      </c>
      <c r="W58" s="5">
        <v>639.0</v>
      </c>
      <c r="X58" s="5">
        <v>4948.605</v>
      </c>
      <c r="Y58" s="5">
        <v>1237.15125</v>
      </c>
      <c r="Z58" s="5">
        <v>2392.605</v>
      </c>
      <c r="AA58" s="5">
        <v>598.15125</v>
      </c>
      <c r="AB58" s="9">
        <v>0.48349080195328</v>
      </c>
      <c r="AC58" s="4">
        <v>4.0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5">
        <v>639.0</v>
      </c>
      <c r="AK58" s="5">
        <v>639.0</v>
      </c>
      <c r="AL58" s="5">
        <v>1121.5</v>
      </c>
      <c r="AM58" s="5">
        <v>1121.5</v>
      </c>
      <c r="AN58" s="5">
        <v>482.5</v>
      </c>
      <c r="AO58" s="5">
        <v>482.5</v>
      </c>
      <c r="AP58" s="9">
        <v>0.43022737405261</v>
      </c>
      <c r="AQ58" s="4">
        <v>1.0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51</v>
      </c>
      <c r="E59" s="4">
        <v>2.0</v>
      </c>
      <c r="F59" s="5">
        <v>3550.0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2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13" t="s">
        <v>52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3">
        <v>0</v>
      </c>
      <c r="AC59" s="6">
        <v>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51</v>
      </c>
      <c r="E60" s="4">
        <v>10.0</v>
      </c>
      <c r="F60" s="5">
        <v>300.0</v>
      </c>
      <c r="G60" s="6">
        <v>0</v>
      </c>
      <c r="H60" s="6">
        <v>0</v>
      </c>
      <c r="I60" s="6">
        <v>0</v>
      </c>
      <c r="J60" s="6">
        <v>0</v>
      </c>
      <c r="K60" s="4">
        <v>3.818178</v>
      </c>
      <c r="L60" s="5">
        <v>114.54534</v>
      </c>
      <c r="M60" s="7">
        <v>1.0</v>
      </c>
      <c r="N60" s="4">
        <v>3.0</v>
      </c>
      <c r="O60" s="4">
        <v>0.272727</v>
      </c>
      <c r="P60" s="4">
        <v>1.0</v>
      </c>
      <c r="Q60" s="4">
        <v>0.5</v>
      </c>
      <c r="R60" s="6">
        <v>0</v>
      </c>
      <c r="S60" s="6">
        <v>0</v>
      </c>
      <c r="T60" s="4">
        <v>0.5</v>
      </c>
      <c r="U60" s="13" t="s">
        <v>52</v>
      </c>
      <c r="V60" s="5">
        <v>90.0</v>
      </c>
      <c r="W60" s="5">
        <v>30.0</v>
      </c>
      <c r="X60" s="5">
        <v>233.645</v>
      </c>
      <c r="Y60" s="5">
        <v>77.881666666667</v>
      </c>
      <c r="Z60" s="5">
        <v>143.645</v>
      </c>
      <c r="AA60" s="5">
        <v>47.881666666667</v>
      </c>
      <c r="AB60" s="9">
        <v>0.61480023111986</v>
      </c>
      <c r="AC60" s="4">
        <v>3.0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5">
        <v>30.0</v>
      </c>
      <c r="AK60" s="5">
        <v>30.0</v>
      </c>
      <c r="AL60" s="6">
        <v>0</v>
      </c>
      <c r="AM60" s="5">
        <v>0.0</v>
      </c>
      <c r="AN60" s="5">
        <v>-30.0</v>
      </c>
      <c r="AO60" s="5">
        <v>-30.0</v>
      </c>
      <c r="AP60" s="15">
        <v>0</v>
      </c>
      <c r="AQ60" s="4">
        <v>1.0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51</v>
      </c>
      <c r="E61" s="4">
        <v>30.0</v>
      </c>
      <c r="F61" s="5">
        <v>750.0</v>
      </c>
      <c r="G61" s="6">
        <v>0</v>
      </c>
      <c r="H61" s="6">
        <v>0</v>
      </c>
      <c r="I61" s="6">
        <v>0</v>
      </c>
      <c r="J61" s="6">
        <v>0</v>
      </c>
      <c r="K61" s="4">
        <v>12.72726</v>
      </c>
      <c r="L61" s="5">
        <v>318.1815</v>
      </c>
      <c r="M61" s="7">
        <v>1.0</v>
      </c>
      <c r="N61" s="4">
        <v>10.0</v>
      </c>
      <c r="O61" s="4">
        <v>0.90909</v>
      </c>
      <c r="P61" s="6">
        <v>0</v>
      </c>
      <c r="Q61" s="6">
        <v>0</v>
      </c>
      <c r="R61" s="4">
        <v>5.0</v>
      </c>
      <c r="S61" s="5">
        <v>125.0</v>
      </c>
      <c r="T61" s="4">
        <v>1.666666</v>
      </c>
      <c r="U61" s="8">
        <v>3.0000012000005</v>
      </c>
      <c r="V61" s="5">
        <v>166.673</v>
      </c>
      <c r="W61" s="5">
        <v>16.6673</v>
      </c>
      <c r="X61" s="5">
        <v>547.687</v>
      </c>
      <c r="Y61" s="5">
        <v>54.7687</v>
      </c>
      <c r="Z61" s="5">
        <v>381.014</v>
      </c>
      <c r="AA61" s="5">
        <v>38.1014</v>
      </c>
      <c r="AB61" s="9">
        <v>0.69567837104039</v>
      </c>
      <c r="AC61" s="4">
        <v>10.0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51</v>
      </c>
      <c r="E62" s="4">
        <v>10.0</v>
      </c>
      <c r="F62" s="5">
        <v>1900.0</v>
      </c>
      <c r="G62" s="6">
        <v>0</v>
      </c>
      <c r="H62" s="6">
        <v>0</v>
      </c>
      <c r="I62" s="6">
        <v>0</v>
      </c>
      <c r="J62" s="6">
        <v>0</v>
      </c>
      <c r="K62" s="4">
        <v>5.090904</v>
      </c>
      <c r="L62" s="5">
        <v>967.27176</v>
      </c>
      <c r="M62" s="7">
        <v>1.0</v>
      </c>
      <c r="N62" s="4">
        <v>4.0</v>
      </c>
      <c r="O62" s="4">
        <v>0.363636</v>
      </c>
      <c r="P62" s="6">
        <v>0</v>
      </c>
      <c r="Q62" s="6">
        <v>0</v>
      </c>
      <c r="R62" s="4">
        <v>5.0</v>
      </c>
      <c r="S62" s="5">
        <v>950.0</v>
      </c>
      <c r="T62" s="4">
        <v>0.5</v>
      </c>
      <c r="U62" s="11">
        <v>10.0</v>
      </c>
      <c r="V62" s="5">
        <v>760.0</v>
      </c>
      <c r="W62" s="5">
        <v>190.0</v>
      </c>
      <c r="X62" s="5">
        <v>1261.683</v>
      </c>
      <c r="Y62" s="5">
        <v>315.42075</v>
      </c>
      <c r="Z62" s="5">
        <v>501.683</v>
      </c>
      <c r="AA62" s="5">
        <v>125.42075</v>
      </c>
      <c r="AB62" s="9">
        <v>0.39762999105163</v>
      </c>
      <c r="AC62" s="4">
        <v>4.0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51</v>
      </c>
      <c r="E63" s="6">
        <v>0</v>
      </c>
      <c r="F63" s="6">
        <v>0</v>
      </c>
      <c r="G63" s="6">
        <v>0</v>
      </c>
      <c r="H63" s="6">
        <v>0</v>
      </c>
      <c r="I63" s="4">
        <v>10.0</v>
      </c>
      <c r="J63" s="5">
        <v>3900.0</v>
      </c>
      <c r="K63" s="6">
        <v>0</v>
      </c>
      <c r="L63" s="6">
        <v>0</v>
      </c>
      <c r="M63" s="12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13" t="s">
        <v>52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3">
        <v>0</v>
      </c>
      <c r="AC63" s="6">
        <v>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51</v>
      </c>
      <c r="E64" s="4">
        <v>160.0</v>
      </c>
      <c r="F64" s="5">
        <v>24000.0</v>
      </c>
      <c r="G64" s="6">
        <v>0</v>
      </c>
      <c r="H64" s="6">
        <v>0</v>
      </c>
      <c r="I64" s="6">
        <v>0</v>
      </c>
      <c r="J64" s="6">
        <v>0</v>
      </c>
      <c r="K64" s="4">
        <v>19.090904</v>
      </c>
      <c r="L64" s="5">
        <v>2863.6356</v>
      </c>
      <c r="M64" s="7">
        <v>1.0</v>
      </c>
      <c r="N64" s="4">
        <v>2.0</v>
      </c>
      <c r="O64" s="4">
        <v>1.363636</v>
      </c>
      <c r="P64" s="4">
        <v>-1.0</v>
      </c>
      <c r="Q64" s="6">
        <v>0</v>
      </c>
      <c r="R64" s="4">
        <v>112.0</v>
      </c>
      <c r="S64" s="5">
        <v>16800.0</v>
      </c>
      <c r="T64" s="4">
        <v>-0.666666</v>
      </c>
      <c r="U64" s="13" t="s">
        <v>52</v>
      </c>
      <c r="V64" s="5">
        <v>300.0</v>
      </c>
      <c r="W64" s="5">
        <v>150.0</v>
      </c>
      <c r="X64" s="5">
        <v>-575.625</v>
      </c>
      <c r="Y64" s="5">
        <v>-287.8125</v>
      </c>
      <c r="Z64" s="5">
        <v>-875.625</v>
      </c>
      <c r="AA64" s="5">
        <v>-437.8125</v>
      </c>
      <c r="AB64" s="15">
        <v>0</v>
      </c>
      <c r="AC64" s="4">
        <v>2.0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5">
        <v>-150.0</v>
      </c>
      <c r="AK64" s="6">
        <v>0</v>
      </c>
      <c r="AL64" s="5">
        <v>-200.935</v>
      </c>
      <c r="AM64" s="6">
        <v>0</v>
      </c>
      <c r="AN64" s="5">
        <v>-50.935</v>
      </c>
      <c r="AO64" s="6">
        <v>0</v>
      </c>
      <c r="AP64" s="15">
        <v>0</v>
      </c>
      <c r="AQ64" s="4">
        <v>-1.0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51</v>
      </c>
      <c r="E65" s="4">
        <v>20.0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2">
        <v>0</v>
      </c>
      <c r="N65" s="6">
        <v>0</v>
      </c>
      <c r="O65" s="6">
        <v>0</v>
      </c>
      <c r="P65" s="6">
        <v>0</v>
      </c>
      <c r="Q65" s="6">
        <v>0</v>
      </c>
      <c r="R65" s="4">
        <v>5.0</v>
      </c>
      <c r="S65" s="6">
        <v>0</v>
      </c>
      <c r="T65" s="6">
        <v>0</v>
      </c>
      <c r="U65" s="13" t="s">
        <v>52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3">
        <v>0</v>
      </c>
      <c r="AC65" s="6">
        <v>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51</v>
      </c>
      <c r="E66" s="4">
        <v>29.0</v>
      </c>
      <c r="F66" s="5">
        <v>8555.0</v>
      </c>
      <c r="G66" s="6">
        <v>0</v>
      </c>
      <c r="H66" s="6">
        <v>0</v>
      </c>
      <c r="I66" s="6">
        <v>0</v>
      </c>
      <c r="J66" s="6">
        <v>0</v>
      </c>
      <c r="K66" s="4">
        <v>5.090904</v>
      </c>
      <c r="L66" s="5">
        <v>1501.81668</v>
      </c>
      <c r="M66" s="7">
        <v>1.0</v>
      </c>
      <c r="N66" s="4">
        <v>-4.0</v>
      </c>
      <c r="O66" s="4">
        <v>0.363636</v>
      </c>
      <c r="P66" s="6">
        <v>0</v>
      </c>
      <c r="Q66" s="6">
        <v>0</v>
      </c>
      <c r="R66" s="4">
        <v>27.0</v>
      </c>
      <c r="S66" s="5">
        <v>7965.0</v>
      </c>
      <c r="T66" s="4">
        <v>-0.666666</v>
      </c>
      <c r="U66" s="13" t="s">
        <v>52</v>
      </c>
      <c r="V66" s="5">
        <v>-1180.0</v>
      </c>
      <c r="W66" s="6">
        <v>0</v>
      </c>
      <c r="X66" s="5">
        <v>-719.612</v>
      </c>
      <c r="Y66" s="6">
        <v>0</v>
      </c>
      <c r="Z66" s="5">
        <v>460.388</v>
      </c>
      <c r="AA66" s="6">
        <v>0</v>
      </c>
      <c r="AB66" s="17">
        <v>-0.63977254409321</v>
      </c>
      <c r="AC66" s="4">
        <v>-4.0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3">
        <v>0</v>
      </c>
      <c r="AQ66" s="6">
        <v>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71</v>
      </c>
      <c r="E67" s="4">
        <v>11.0</v>
      </c>
      <c r="F67" s="5">
        <v>1529.0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12">
        <v>0</v>
      </c>
      <c r="N67" s="6">
        <v>0</v>
      </c>
      <c r="O67" s="6">
        <v>0</v>
      </c>
      <c r="P67" s="6">
        <v>0</v>
      </c>
      <c r="Q67" s="6">
        <v>0</v>
      </c>
      <c r="R67" s="4">
        <v>4.0</v>
      </c>
      <c r="S67" s="5">
        <v>556.0</v>
      </c>
      <c r="T67" s="6">
        <v>0</v>
      </c>
      <c r="U67" s="13" t="s">
        <v>52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3">
        <v>0</v>
      </c>
      <c r="AC67" s="6">
        <v>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51</v>
      </c>
      <c r="E68" s="4">
        <v>5.0</v>
      </c>
      <c r="F68" s="5">
        <v>145.0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2">
        <v>0</v>
      </c>
      <c r="N68" s="6">
        <v>0</v>
      </c>
      <c r="O68" s="6">
        <v>0</v>
      </c>
      <c r="P68" s="6">
        <v>0</v>
      </c>
      <c r="Q68" s="6">
        <v>0</v>
      </c>
      <c r="R68" s="4">
        <v>4.0</v>
      </c>
      <c r="S68" s="5">
        <v>116.0</v>
      </c>
      <c r="T68" s="6">
        <v>0</v>
      </c>
      <c r="U68" s="13" t="s">
        <v>52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3">
        <v>0</v>
      </c>
      <c r="AC68" s="6">
        <v>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51</v>
      </c>
      <c r="E69" s="4">
        <v>10.0</v>
      </c>
      <c r="F69" s="5">
        <v>2950.0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12">
        <v>0</v>
      </c>
      <c r="N69" s="6">
        <v>0</v>
      </c>
      <c r="O69" s="6">
        <v>0</v>
      </c>
      <c r="P69" s="6">
        <v>0</v>
      </c>
      <c r="Q69" s="6">
        <v>0</v>
      </c>
      <c r="R69" s="4">
        <v>10.0</v>
      </c>
      <c r="S69" s="5">
        <v>2950.0</v>
      </c>
      <c r="T69" s="6">
        <v>0</v>
      </c>
      <c r="U69" s="13" t="s">
        <v>52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3">
        <v>0</v>
      </c>
      <c r="AC69" s="6">
        <v>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51</v>
      </c>
      <c r="E70" s="4">
        <v>5.0</v>
      </c>
      <c r="F70" s="5">
        <v>475.0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2">
        <v>0</v>
      </c>
      <c r="N70" s="6">
        <v>0</v>
      </c>
      <c r="O70" s="6">
        <v>0</v>
      </c>
      <c r="P70" s="6">
        <v>0</v>
      </c>
      <c r="Q70" s="6">
        <v>0</v>
      </c>
      <c r="R70" s="4">
        <v>5.0</v>
      </c>
      <c r="S70" s="5">
        <v>475.0</v>
      </c>
      <c r="T70" s="6">
        <v>0</v>
      </c>
      <c r="U70" s="13" t="s">
        <v>52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3">
        <v>0</v>
      </c>
      <c r="AC70" s="6">
        <v>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186</v>
      </c>
      <c r="C71" t="s">
        <v>187</v>
      </c>
      <c r="D71" s="3" t="s">
        <v>51</v>
      </c>
      <c r="E71" s="4">
        <v>5.0</v>
      </c>
      <c r="F71" s="5">
        <v>625.0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12">
        <v>0</v>
      </c>
      <c r="N71" s="6">
        <v>0</v>
      </c>
      <c r="O71" s="6">
        <v>0</v>
      </c>
      <c r="P71" s="6">
        <v>0</v>
      </c>
      <c r="Q71" s="6">
        <v>0</v>
      </c>
      <c r="R71" s="4">
        <v>5.0</v>
      </c>
      <c r="S71" s="5">
        <v>625.0</v>
      </c>
      <c r="T71" s="6">
        <v>0</v>
      </c>
      <c r="U71" s="13" t="s">
        <v>52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3">
        <v>0</v>
      </c>
      <c r="AC71" s="6">
        <v>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3">
        <v>0</v>
      </c>
      <c r="AQ71" s="6">
        <v>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188</v>
      </c>
      <c r="C72" t="s">
        <v>189</v>
      </c>
      <c r="D72" s="3" t="s">
        <v>48</v>
      </c>
      <c r="E72" s="4">
        <v>10.0</v>
      </c>
      <c r="F72" s="5">
        <v>290.0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12">
        <v>0</v>
      </c>
      <c r="N72" s="6">
        <v>0</v>
      </c>
      <c r="O72" s="6">
        <v>0</v>
      </c>
      <c r="P72" s="4">
        <v>1.0</v>
      </c>
      <c r="Q72" s="4">
        <v>0.5</v>
      </c>
      <c r="R72" s="4">
        <v>19.0</v>
      </c>
      <c r="S72" s="5">
        <v>551.0</v>
      </c>
      <c r="T72" s="4">
        <v>0.166666</v>
      </c>
      <c r="U72" s="11">
        <v>114.00045600182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3">
        <v>0</v>
      </c>
      <c r="AC72" s="6">
        <v>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5">
        <v>29.0</v>
      </c>
      <c r="AK72" s="5">
        <v>29.0</v>
      </c>
      <c r="AL72" s="5">
        <v>18.689</v>
      </c>
      <c r="AM72" s="5">
        <v>18.689</v>
      </c>
      <c r="AN72" s="5">
        <v>-10.311</v>
      </c>
      <c r="AO72" s="5">
        <v>-10.311</v>
      </c>
      <c r="AP72" s="14">
        <v>-0.55171491251538</v>
      </c>
      <c r="AQ72" s="4">
        <v>1.0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48</v>
      </c>
      <c r="E73" s="4">
        <v>110.0</v>
      </c>
      <c r="F73" s="5">
        <v>6050.0</v>
      </c>
      <c r="G73" s="6">
        <v>0</v>
      </c>
      <c r="H73" s="6">
        <v>0</v>
      </c>
      <c r="I73" s="6">
        <v>0</v>
      </c>
      <c r="J73" s="6">
        <v>0</v>
      </c>
      <c r="K73" s="4">
        <v>47.090904</v>
      </c>
      <c r="L73" s="5">
        <v>2589.99972</v>
      </c>
      <c r="M73" s="7">
        <v>1.0</v>
      </c>
      <c r="N73" s="4">
        <v>28.0</v>
      </c>
      <c r="O73" s="4">
        <v>3.363636</v>
      </c>
      <c r="P73" s="4">
        <v>11.0</v>
      </c>
      <c r="Q73" s="4">
        <v>5.5</v>
      </c>
      <c r="R73" s="4">
        <v>18.0</v>
      </c>
      <c r="S73" s="5">
        <v>990.0</v>
      </c>
      <c r="T73" s="4">
        <v>5.666666</v>
      </c>
      <c r="U73" s="8">
        <v>3.1764709619378</v>
      </c>
      <c r="V73" s="5">
        <v>1540.0</v>
      </c>
      <c r="W73" s="5">
        <v>55.0</v>
      </c>
      <c r="X73" s="5">
        <v>2014.387</v>
      </c>
      <c r="Y73" s="5">
        <v>71.942392857143</v>
      </c>
      <c r="Z73" s="5">
        <v>474.387</v>
      </c>
      <c r="AA73" s="5">
        <v>16.942392857143</v>
      </c>
      <c r="AB73" s="18">
        <v>0.23549943481565</v>
      </c>
      <c r="AC73" s="4">
        <v>28.0</v>
      </c>
      <c r="AD73" s="4">
        <v>4.0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5">
        <v>605.0</v>
      </c>
      <c r="AK73" s="5">
        <v>55.0</v>
      </c>
      <c r="AL73" s="5">
        <v>859.809</v>
      </c>
      <c r="AM73" s="5">
        <v>78.164454545455</v>
      </c>
      <c r="AN73" s="5">
        <v>254.809</v>
      </c>
      <c r="AO73" s="5">
        <v>23.164454545455</v>
      </c>
      <c r="AP73" s="9">
        <v>0.2963553533401</v>
      </c>
      <c r="AQ73" s="4">
        <v>11.0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51</v>
      </c>
      <c r="E74" s="4">
        <v>6.0</v>
      </c>
      <c r="F74" s="5">
        <v>1140.0</v>
      </c>
      <c r="G74" s="6">
        <v>0</v>
      </c>
      <c r="H74" s="6">
        <v>0</v>
      </c>
      <c r="I74" s="6">
        <v>0</v>
      </c>
      <c r="J74" s="6">
        <v>0</v>
      </c>
      <c r="K74" s="4">
        <v>3.818178</v>
      </c>
      <c r="L74" s="5">
        <v>725.45382</v>
      </c>
      <c r="M74" s="7">
        <v>1.0</v>
      </c>
      <c r="N74" s="4">
        <v>3.0</v>
      </c>
      <c r="O74" s="4">
        <v>0.272727</v>
      </c>
      <c r="P74" s="6">
        <v>0</v>
      </c>
      <c r="Q74" s="6">
        <v>0</v>
      </c>
      <c r="R74" s="4">
        <v>1.0</v>
      </c>
      <c r="S74" s="5">
        <v>190.0</v>
      </c>
      <c r="T74" s="4">
        <v>0.166666</v>
      </c>
      <c r="U74" s="11">
        <v>6.000024000096</v>
      </c>
      <c r="V74" s="5">
        <v>570.0</v>
      </c>
      <c r="W74" s="5">
        <v>190.0</v>
      </c>
      <c r="X74" s="5">
        <v>841.13</v>
      </c>
      <c r="Y74" s="5">
        <v>280.37666666667</v>
      </c>
      <c r="Z74" s="5">
        <v>271.13</v>
      </c>
      <c r="AA74" s="5">
        <v>90.376666666667</v>
      </c>
      <c r="AB74" s="9">
        <v>0.32234018522702</v>
      </c>
      <c r="AC74" s="4">
        <v>3.0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51</v>
      </c>
      <c r="E75" s="4">
        <v>2.0</v>
      </c>
      <c r="F75" s="5">
        <v>100.0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12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13" t="s">
        <v>52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3">
        <v>0</v>
      </c>
      <c r="AC75" s="6">
        <v>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198</v>
      </c>
      <c r="E76" s="4">
        <v>3000.0</v>
      </c>
      <c r="F76" s="5">
        <v>73200.0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12">
        <v>0</v>
      </c>
      <c r="N76" s="6">
        <v>0</v>
      </c>
      <c r="O76" s="6">
        <v>0</v>
      </c>
      <c r="P76" s="6">
        <v>0</v>
      </c>
      <c r="Q76" s="6">
        <v>0</v>
      </c>
      <c r="R76" s="4">
        <v>1693.0</v>
      </c>
      <c r="S76" s="5">
        <v>41309.2</v>
      </c>
      <c r="T76" s="6">
        <v>0</v>
      </c>
      <c r="U76" s="13" t="s">
        <v>52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3">
        <v>0</v>
      </c>
      <c r="AC76" s="6">
        <v>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199</v>
      </c>
      <c r="C77" t="s">
        <v>200</v>
      </c>
      <c r="D77" s="3" t="s">
        <v>201</v>
      </c>
      <c r="E77" s="6">
        <v>0</v>
      </c>
      <c r="F77" s="6">
        <v>0</v>
      </c>
      <c r="G77" s="6">
        <v>0</v>
      </c>
      <c r="H77" s="6">
        <v>0</v>
      </c>
      <c r="I77" s="4">
        <v>998.0</v>
      </c>
      <c r="J77" s="5">
        <v>45908.0</v>
      </c>
      <c r="K77" s="4">
        <v>17.818178</v>
      </c>
      <c r="L77" s="5">
        <v>819.636188</v>
      </c>
      <c r="M77" s="7">
        <v>1.0</v>
      </c>
      <c r="N77" s="4">
        <v>14.0</v>
      </c>
      <c r="O77" s="4">
        <v>1.272727</v>
      </c>
      <c r="P77" s="4">
        <v>-16.0</v>
      </c>
      <c r="Q77" s="6">
        <v>0</v>
      </c>
      <c r="R77" s="6">
        <v>0</v>
      </c>
      <c r="S77" s="6">
        <v>0</v>
      </c>
      <c r="T77" s="4">
        <v>-0.333333</v>
      </c>
      <c r="U77" s="13" t="s">
        <v>52</v>
      </c>
      <c r="V77" s="5">
        <v>614.97</v>
      </c>
      <c r="W77" s="5">
        <v>43.926428571429</v>
      </c>
      <c r="X77" s="6">
        <v>0</v>
      </c>
      <c r="Y77" s="5">
        <v>0.0</v>
      </c>
      <c r="Z77" s="5">
        <v>-614.97</v>
      </c>
      <c r="AA77" s="5">
        <v>-43.926428571429</v>
      </c>
      <c r="AB77" s="15">
        <v>0</v>
      </c>
      <c r="AC77" s="4">
        <v>14.0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5">
        <v>-702.82</v>
      </c>
      <c r="AK77" s="6">
        <v>0</v>
      </c>
      <c r="AL77" s="5">
        <v>-925.2</v>
      </c>
      <c r="AM77" s="6">
        <v>0</v>
      </c>
      <c r="AN77" s="5">
        <v>-222.38</v>
      </c>
      <c r="AO77" s="6">
        <v>0</v>
      </c>
      <c r="AP77" s="15">
        <v>0</v>
      </c>
      <c r="AQ77" s="4">
        <v>-16.0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202</v>
      </c>
      <c r="C78" t="s">
        <v>203</v>
      </c>
      <c r="D78" s="3" t="s">
        <v>51</v>
      </c>
      <c r="E78" s="4">
        <v>45.0</v>
      </c>
      <c r="F78" s="5">
        <v>3375.0</v>
      </c>
      <c r="G78" s="6">
        <v>0</v>
      </c>
      <c r="H78" s="6">
        <v>0</v>
      </c>
      <c r="I78" s="6">
        <v>0</v>
      </c>
      <c r="J78" s="6">
        <v>0</v>
      </c>
      <c r="K78" s="4">
        <v>7.636356</v>
      </c>
      <c r="L78" s="5">
        <v>801.81738</v>
      </c>
      <c r="M78" s="7">
        <v>1.0</v>
      </c>
      <c r="N78" s="4">
        <v>6.0</v>
      </c>
      <c r="O78" s="4">
        <v>0.545454</v>
      </c>
      <c r="P78" s="6">
        <v>0</v>
      </c>
      <c r="Q78" s="6">
        <v>0</v>
      </c>
      <c r="R78" s="4">
        <v>1.0</v>
      </c>
      <c r="S78" s="5">
        <v>105.0</v>
      </c>
      <c r="T78" s="4">
        <v>0.666666</v>
      </c>
      <c r="U78" s="8">
        <v>1.5000015000015</v>
      </c>
      <c r="V78" s="5">
        <v>1290.0</v>
      </c>
      <c r="W78" s="5">
        <v>215.0</v>
      </c>
      <c r="X78" s="5">
        <v>990.653</v>
      </c>
      <c r="Y78" s="5">
        <v>165.10883333333</v>
      </c>
      <c r="Z78" s="5">
        <v>-299.347</v>
      </c>
      <c r="AA78" s="5">
        <v>-49.891166666667</v>
      </c>
      <c r="AB78" s="14">
        <v>-0.30217139603877</v>
      </c>
      <c r="AC78" s="4">
        <v>6.0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204</v>
      </c>
      <c r="C79" t="s">
        <v>205</v>
      </c>
      <c r="D79" s="3" t="s">
        <v>51</v>
      </c>
      <c r="E79" s="4">
        <v>4.0</v>
      </c>
      <c r="F79" s="5">
        <v>420.0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2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3" t="s">
        <v>52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206</v>
      </c>
      <c r="C80" t="s">
        <v>207</v>
      </c>
      <c r="D80" s="3" t="s">
        <v>51</v>
      </c>
      <c r="E80" s="4">
        <v>50.0</v>
      </c>
      <c r="F80" s="5">
        <v>4750.0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2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13" t="s">
        <v>52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1" t="s">
        <v>208</v>
      </c>
      <c r="B81" s="1"/>
      <c r="C81" s="1"/>
      <c r="D81" s="1"/>
      <c r="E81" s="1"/>
      <c r="F81" s="19">
        <f>SUM(F3:F81)</f>
        <v>550157</v>
      </c>
      <c r="G81" s="1"/>
      <c r="H81" s="19">
        <f>SUM(H3:H81)</f>
        <v>381677</v>
      </c>
      <c r="I81" s="1"/>
      <c r="J81" s="19">
        <f>SUM(J3:J81)</f>
        <v>62313</v>
      </c>
      <c r="K81" s="1"/>
      <c r="L81" s="19">
        <f>SUM(L3:L81)</f>
        <v>466141.421928</v>
      </c>
      <c r="M81" s="1"/>
      <c r="N81" s="1"/>
      <c r="O81" s="1"/>
      <c r="P81" s="1"/>
      <c r="Q81" s="1"/>
      <c r="R81" s="1"/>
      <c r="S81" s="19">
        <f>SUM(S3:S81)</f>
        <v>200714.2</v>
      </c>
      <c r="T81" s="1"/>
      <c r="U81" s="1"/>
      <c r="V81" s="19">
        <f>SUM(V3:V81)</f>
        <v>360219.446</v>
      </c>
      <c r="W81" s="1"/>
      <c r="X81" s="19">
        <f>SUM(X3:X81)</f>
        <v>681743.863</v>
      </c>
      <c r="Y81" s="1"/>
      <c r="Z81" s="19">
        <f>SUM(Z3:Z81)</f>
        <v>321524.417</v>
      </c>
      <c r="AA81" s="1"/>
      <c r="AB81" s="1"/>
      <c r="AC81" s="1"/>
      <c r="AD81" s="1"/>
      <c r="AE81" s="1"/>
      <c r="AF81" s="19">
        <f>SUM(AF3:AF81)</f>
        <v>0</v>
      </c>
      <c r="AG81" s="1"/>
      <c r="AH81" s="1"/>
      <c r="AI81" s="19">
        <f>SUM(AI3:AI81)</f>
        <v>2105</v>
      </c>
      <c r="AJ81" s="19">
        <f>SUM(AJ3:V81)</f>
        <v>2793010.1337995</v>
      </c>
      <c r="AK81" s="1"/>
      <c r="AL81" s="19">
        <f>SUM(AL3:AL81)</f>
        <v>76392.508</v>
      </c>
      <c r="AM81" s="1"/>
      <c r="AN81" s="19">
        <f>SUM(AN3:AN81)</f>
        <v>38966.699</v>
      </c>
      <c r="AO81" s="1"/>
      <c r="AP81" s="1"/>
      <c r="AQ81" s="1"/>
      <c r="AR81" s="1"/>
      <c r="AS81" s="1"/>
      <c r="AT81" s="19">
        <f>SUM(AT3:AT81)</f>
        <v>0</v>
      </c>
      <c r="AU81" s="1"/>
      <c r="AV81" s="1"/>
      <c r="AW81" s="19">
        <f>SUM(AW3:AW81)</f>
        <v>2105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1:D8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6"/>
  <sheetViews>
    <sheetView tabSelected="0" workbookViewId="0" showGridLines="true" showRowColHeaders="1">
      <pane ySplit="1" topLeftCell="A2" activePane="bottomLeft" state="frozen"/>
      <selection pane="bottomLeft" activeCell="I26" sqref="I2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1</v>
      </c>
      <c r="G1" s="1" t="s">
        <v>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218</v>
      </c>
      <c r="C2" s="3" t="s">
        <v>219</v>
      </c>
      <c r="D2" s="20">
        <v>45027.0</v>
      </c>
      <c r="E2" t="s">
        <v>220</v>
      </c>
      <c r="F2" s="3" t="s">
        <v>138</v>
      </c>
      <c r="G2" t="s">
        <v>139</v>
      </c>
      <c r="H2" s="3" t="s">
        <v>221</v>
      </c>
      <c r="I2" s="4">
        <v>1.0</v>
      </c>
      <c r="J2" t="s">
        <v>222</v>
      </c>
      <c r="K2" t="s">
        <v>223</v>
      </c>
      <c r="L2" t="s">
        <v>224</v>
      </c>
    </row>
    <row r="3" spans="1:36">
      <c r="A3" s="3">
        <v>2</v>
      </c>
      <c r="B3" t="s">
        <v>225</v>
      </c>
      <c r="C3" s="3" t="s">
        <v>226</v>
      </c>
      <c r="D3" s="20">
        <v>45309.0</v>
      </c>
      <c r="E3" t="s">
        <v>227</v>
      </c>
      <c r="F3" s="3" t="s">
        <v>138</v>
      </c>
      <c r="G3" t="s">
        <v>139</v>
      </c>
      <c r="H3" s="3" t="s">
        <v>221</v>
      </c>
      <c r="I3" s="4">
        <v>1.0</v>
      </c>
      <c r="J3" t="s">
        <v>228</v>
      </c>
      <c r="K3" t="s">
        <v>229</v>
      </c>
      <c r="L3"/>
    </row>
    <row r="4" spans="1:36">
      <c r="A4" s="3">
        <v>3</v>
      </c>
      <c r="B4" t="s">
        <v>230</v>
      </c>
      <c r="C4" s="3" t="s">
        <v>231</v>
      </c>
      <c r="D4" s="20">
        <v>44952.0</v>
      </c>
      <c r="E4" t="s">
        <v>232</v>
      </c>
      <c r="F4" s="3" t="s">
        <v>43</v>
      </c>
      <c r="G4" t="s">
        <v>44</v>
      </c>
      <c r="H4" s="3" t="s">
        <v>221</v>
      </c>
      <c r="I4" s="4">
        <v>1.0</v>
      </c>
      <c r="J4" t="s">
        <v>233</v>
      </c>
      <c r="K4" t="s">
        <v>229</v>
      </c>
      <c r="L4" t="s">
        <v>234</v>
      </c>
    </row>
    <row r="5" spans="1:36">
      <c r="A5" s="3">
        <v>4</v>
      </c>
      <c r="B5" t="s">
        <v>218</v>
      </c>
      <c r="C5" s="3" t="s">
        <v>235</v>
      </c>
      <c r="D5" s="20">
        <v>45005.0</v>
      </c>
      <c r="E5" t="s">
        <v>236</v>
      </c>
      <c r="F5" s="3" t="s">
        <v>43</v>
      </c>
      <c r="G5" t="s">
        <v>44</v>
      </c>
      <c r="H5" s="3" t="s">
        <v>221</v>
      </c>
      <c r="I5" s="4">
        <v>1.0</v>
      </c>
      <c r="J5" t="s">
        <v>233</v>
      </c>
      <c r="K5" t="s">
        <v>223</v>
      </c>
      <c r="L5" t="s">
        <v>224</v>
      </c>
    </row>
    <row r="6" spans="1:36">
      <c r="A6" s="3">
        <v>5</v>
      </c>
      <c r="B6" t="s">
        <v>237</v>
      </c>
      <c r="C6" s="3" t="s">
        <v>238</v>
      </c>
      <c r="D6" s="20">
        <v>45056.0</v>
      </c>
      <c r="E6" t="s">
        <v>239</v>
      </c>
      <c r="F6" s="3" t="s">
        <v>43</v>
      </c>
      <c r="G6" t="s">
        <v>44</v>
      </c>
      <c r="H6" s="3" t="s">
        <v>221</v>
      </c>
      <c r="I6" s="4">
        <v>3.0</v>
      </c>
      <c r="J6" t="s">
        <v>233</v>
      </c>
      <c r="K6" t="s">
        <v>229</v>
      </c>
      <c r="L6" t="s">
        <v>240</v>
      </c>
    </row>
    <row r="7" spans="1:36">
      <c r="A7" s="3">
        <v>6</v>
      </c>
      <c r="B7" t="s">
        <v>237</v>
      </c>
      <c r="C7" s="3" t="s">
        <v>241</v>
      </c>
      <c r="D7" s="20">
        <v>45090.0</v>
      </c>
      <c r="E7" t="s">
        <v>239</v>
      </c>
      <c r="F7" s="3" t="s">
        <v>43</v>
      </c>
      <c r="G7" t="s">
        <v>44</v>
      </c>
      <c r="H7" s="3" t="s">
        <v>221</v>
      </c>
      <c r="I7" s="4">
        <v>1.0</v>
      </c>
      <c r="J7" t="s">
        <v>233</v>
      </c>
      <c r="K7" t="s">
        <v>229</v>
      </c>
      <c r="L7" t="s">
        <v>242</v>
      </c>
    </row>
    <row r="8" spans="1:36">
      <c r="A8" s="3">
        <v>7</v>
      </c>
      <c r="B8" t="s">
        <v>237</v>
      </c>
      <c r="C8" s="3" t="s">
        <v>243</v>
      </c>
      <c r="D8" s="20">
        <v>45094.0</v>
      </c>
      <c r="E8" t="s">
        <v>239</v>
      </c>
      <c r="F8" s="3" t="s">
        <v>43</v>
      </c>
      <c r="G8" t="s">
        <v>44</v>
      </c>
      <c r="H8" s="3" t="s">
        <v>221</v>
      </c>
      <c r="I8" s="4">
        <v>3.0</v>
      </c>
      <c r="J8" t="s">
        <v>233</v>
      </c>
      <c r="K8" t="s">
        <v>229</v>
      </c>
      <c r="L8" t="s">
        <v>224</v>
      </c>
    </row>
    <row r="9" spans="1:36">
      <c r="A9" s="3">
        <v>8</v>
      </c>
      <c r="B9" t="s">
        <v>225</v>
      </c>
      <c r="C9" s="3" t="s">
        <v>244</v>
      </c>
      <c r="D9" s="20">
        <v>45266.0</v>
      </c>
      <c r="E9" t="s">
        <v>245</v>
      </c>
      <c r="F9" s="3" t="s">
        <v>43</v>
      </c>
      <c r="G9" t="s">
        <v>44</v>
      </c>
      <c r="H9" s="3" t="s">
        <v>221</v>
      </c>
      <c r="I9" s="4">
        <v>1.0</v>
      </c>
      <c r="J9" t="s">
        <v>233</v>
      </c>
      <c r="K9" t="s">
        <v>223</v>
      </c>
      <c r="L9" t="s">
        <v>246</v>
      </c>
    </row>
    <row r="10" spans="1:36">
      <c r="A10" s="3">
        <v>9</v>
      </c>
      <c r="B10" t="s">
        <v>230</v>
      </c>
      <c r="C10" s="3" t="s">
        <v>247</v>
      </c>
      <c r="D10" s="20">
        <v>45336.0</v>
      </c>
      <c r="E10" t="s">
        <v>248</v>
      </c>
      <c r="F10" s="3" t="s">
        <v>43</v>
      </c>
      <c r="G10" t="s">
        <v>44</v>
      </c>
      <c r="H10" s="3" t="s">
        <v>221</v>
      </c>
      <c r="I10" s="4">
        <v>1.0</v>
      </c>
      <c r="J10" t="s">
        <v>233</v>
      </c>
      <c r="K10" t="s">
        <v>229</v>
      </c>
      <c r="L10" t="s">
        <v>224</v>
      </c>
    </row>
    <row r="11" spans="1:36">
      <c r="A11" s="3">
        <v>10</v>
      </c>
      <c r="B11" t="s">
        <v>225</v>
      </c>
      <c r="C11" s="3" t="s">
        <v>249</v>
      </c>
      <c r="D11" s="20">
        <v>45350.0</v>
      </c>
      <c r="E11" t="s">
        <v>250</v>
      </c>
      <c r="F11" s="3" t="s">
        <v>43</v>
      </c>
      <c r="G11" t="s">
        <v>44</v>
      </c>
      <c r="H11" s="3" t="s">
        <v>221</v>
      </c>
      <c r="I11" s="4">
        <v>1.0</v>
      </c>
      <c r="J11" t="s">
        <v>233</v>
      </c>
      <c r="K11" t="s">
        <v>223</v>
      </c>
      <c r="L11" t="s">
        <v>251</v>
      </c>
    </row>
    <row r="12" spans="1:36">
      <c r="A12" s="3">
        <v>11</v>
      </c>
      <c r="B12" t="s">
        <v>225</v>
      </c>
      <c r="C12" s="3" t="s">
        <v>252</v>
      </c>
      <c r="D12" s="20">
        <v>45017.0</v>
      </c>
      <c r="E12" t="s">
        <v>227</v>
      </c>
      <c r="F12" s="3" t="s">
        <v>55</v>
      </c>
      <c r="G12" t="s">
        <v>56</v>
      </c>
      <c r="H12" s="3" t="s">
        <v>221</v>
      </c>
      <c r="I12" s="4">
        <v>1.0</v>
      </c>
      <c r="J12" t="s">
        <v>233</v>
      </c>
      <c r="K12" t="s">
        <v>229</v>
      </c>
      <c r="L12" t="s">
        <v>253</v>
      </c>
    </row>
    <row r="13" spans="1:36">
      <c r="A13" s="3">
        <v>12</v>
      </c>
      <c r="B13" t="s">
        <v>225</v>
      </c>
      <c r="C13" s="3" t="s">
        <v>254</v>
      </c>
      <c r="D13" s="20">
        <v>45155.0</v>
      </c>
      <c r="E13" t="s">
        <v>255</v>
      </c>
      <c r="F13" s="3" t="s">
        <v>55</v>
      </c>
      <c r="G13" t="s">
        <v>56</v>
      </c>
      <c r="H13" s="3" t="s">
        <v>221</v>
      </c>
      <c r="I13" s="4">
        <v>2.0</v>
      </c>
      <c r="J13" t="s">
        <v>233</v>
      </c>
      <c r="K13" t="s">
        <v>223</v>
      </c>
      <c r="L13" t="s">
        <v>256</v>
      </c>
    </row>
    <row r="14" spans="1:36">
      <c r="A14" s="3">
        <v>13</v>
      </c>
      <c r="B14" t="s">
        <v>225</v>
      </c>
      <c r="C14" s="3" t="s">
        <v>257</v>
      </c>
      <c r="D14" s="20">
        <v>45016.0</v>
      </c>
      <c r="E14" t="s">
        <v>258</v>
      </c>
      <c r="F14" s="3" t="s">
        <v>141</v>
      </c>
      <c r="G14" t="s">
        <v>142</v>
      </c>
      <c r="H14" s="3" t="s">
        <v>221</v>
      </c>
      <c r="I14" s="4">
        <v>1.0</v>
      </c>
      <c r="J14" t="s">
        <v>233</v>
      </c>
      <c r="K14" t="s">
        <v>229</v>
      </c>
      <c r="L14" t="s">
        <v>259</v>
      </c>
    </row>
    <row r="15" spans="1:36">
      <c r="A15" s="3">
        <v>14</v>
      </c>
      <c r="B15" t="s">
        <v>225</v>
      </c>
      <c r="C15" s="3" t="s">
        <v>260</v>
      </c>
      <c r="D15" s="20">
        <v>45362.0</v>
      </c>
      <c r="E15" t="s">
        <v>261</v>
      </c>
      <c r="F15" s="3" t="s">
        <v>141</v>
      </c>
      <c r="G15" t="s">
        <v>142</v>
      </c>
      <c r="H15" s="3" t="s">
        <v>221</v>
      </c>
      <c r="I15" s="4">
        <v>2.0</v>
      </c>
      <c r="J15" t="s">
        <v>228</v>
      </c>
      <c r="K15" t="s">
        <v>223</v>
      </c>
      <c r="L15" t="s">
        <v>224</v>
      </c>
    </row>
    <row r="16" spans="1:36">
      <c r="A16" s="3">
        <v>15</v>
      </c>
      <c r="B16" t="s">
        <v>225</v>
      </c>
      <c r="C16" s="3" t="s">
        <v>262</v>
      </c>
      <c r="D16" s="20">
        <v>44987.0</v>
      </c>
      <c r="E16" t="s">
        <v>263</v>
      </c>
      <c r="F16" s="3" t="s">
        <v>144</v>
      </c>
      <c r="G16" t="s">
        <v>145</v>
      </c>
      <c r="H16" s="3" t="s">
        <v>221</v>
      </c>
      <c r="I16" s="4">
        <v>1.0</v>
      </c>
      <c r="J16" t="s">
        <v>233</v>
      </c>
      <c r="K16" t="s">
        <v>223</v>
      </c>
      <c r="L16" t="s">
        <v>264</v>
      </c>
    </row>
    <row r="17" spans="1:36">
      <c r="A17" s="3">
        <v>16</v>
      </c>
      <c r="B17" t="s">
        <v>225</v>
      </c>
      <c r="C17" s="3" t="s">
        <v>265</v>
      </c>
      <c r="D17" s="20">
        <v>45057.0</v>
      </c>
      <c r="E17" t="s">
        <v>261</v>
      </c>
      <c r="F17" s="3" t="s">
        <v>144</v>
      </c>
      <c r="G17" t="s">
        <v>145</v>
      </c>
      <c r="H17" s="3" t="s">
        <v>221</v>
      </c>
      <c r="I17" s="4">
        <v>1.0</v>
      </c>
      <c r="J17" t="s">
        <v>233</v>
      </c>
      <c r="K17" t="s">
        <v>223</v>
      </c>
      <c r="L17" t="s">
        <v>266</v>
      </c>
    </row>
    <row r="18" spans="1:36">
      <c r="A18" s="3">
        <v>17</v>
      </c>
      <c r="B18" t="s">
        <v>225</v>
      </c>
      <c r="C18" s="3" t="s">
        <v>267</v>
      </c>
      <c r="D18" s="20">
        <v>45058.0</v>
      </c>
      <c r="E18" t="s">
        <v>268</v>
      </c>
      <c r="F18" s="3" t="s">
        <v>144</v>
      </c>
      <c r="G18" t="s">
        <v>145</v>
      </c>
      <c r="H18" s="3" t="s">
        <v>221</v>
      </c>
      <c r="I18" s="4">
        <v>1.0</v>
      </c>
      <c r="J18" t="s">
        <v>233</v>
      </c>
      <c r="K18" t="s">
        <v>223</v>
      </c>
      <c r="L18" t="s">
        <v>269</v>
      </c>
    </row>
    <row r="19" spans="1:36">
      <c r="A19" s="3">
        <v>18</v>
      </c>
      <c r="B19" t="s">
        <v>218</v>
      </c>
      <c r="C19" s="3" t="s">
        <v>270</v>
      </c>
      <c r="D19" s="20">
        <v>45077.0</v>
      </c>
      <c r="E19" t="s">
        <v>271</v>
      </c>
      <c r="F19" s="3" t="s">
        <v>144</v>
      </c>
      <c r="G19" t="s">
        <v>145</v>
      </c>
      <c r="H19" s="3" t="s">
        <v>221</v>
      </c>
      <c r="I19" s="4">
        <v>1.0</v>
      </c>
      <c r="J19" t="s">
        <v>233</v>
      </c>
      <c r="K19" t="s">
        <v>223</v>
      </c>
      <c r="L19" t="s">
        <v>256</v>
      </c>
    </row>
    <row r="20" spans="1:36">
      <c r="A20" s="3">
        <v>19</v>
      </c>
      <c r="B20" t="s">
        <v>218</v>
      </c>
      <c r="C20" s="3" t="s">
        <v>272</v>
      </c>
      <c r="D20" s="20">
        <v>45362.0</v>
      </c>
      <c r="E20" t="s">
        <v>273</v>
      </c>
      <c r="F20" s="3" t="s">
        <v>144</v>
      </c>
      <c r="G20" t="s">
        <v>145</v>
      </c>
      <c r="H20" s="3" t="s">
        <v>221</v>
      </c>
      <c r="I20" s="4">
        <v>1.0</v>
      </c>
      <c r="J20" t="s">
        <v>228</v>
      </c>
      <c r="K20" t="s">
        <v>223</v>
      </c>
      <c r="L20" t="s">
        <v>224</v>
      </c>
    </row>
    <row r="21" spans="1:36">
      <c r="A21" s="3">
        <v>20</v>
      </c>
      <c r="B21" t="s">
        <v>225</v>
      </c>
      <c r="C21" s="3" t="s">
        <v>274</v>
      </c>
      <c r="D21" s="20">
        <v>45362.0</v>
      </c>
      <c r="E21" t="s">
        <v>275</v>
      </c>
      <c r="F21" s="3" t="s">
        <v>144</v>
      </c>
      <c r="G21" t="s">
        <v>145</v>
      </c>
      <c r="H21" s="3" t="s">
        <v>221</v>
      </c>
      <c r="I21" s="4">
        <v>1.0</v>
      </c>
      <c r="J21" t="s">
        <v>228</v>
      </c>
      <c r="K21" t="s">
        <v>223</v>
      </c>
      <c r="L21" t="s">
        <v>266</v>
      </c>
    </row>
    <row r="22" spans="1:36">
      <c r="A22" s="3">
        <v>21</v>
      </c>
      <c r="B22" t="s">
        <v>225</v>
      </c>
      <c r="C22" s="3" t="s">
        <v>276</v>
      </c>
      <c r="D22" s="20">
        <v>45274.0</v>
      </c>
      <c r="E22" t="s">
        <v>277</v>
      </c>
      <c r="F22" s="3" t="s">
        <v>158</v>
      </c>
      <c r="G22" t="s">
        <v>159</v>
      </c>
      <c r="H22" s="3" t="s">
        <v>221</v>
      </c>
      <c r="I22" s="4">
        <v>1.0</v>
      </c>
      <c r="J22" t="s">
        <v>228</v>
      </c>
      <c r="K22" t="s">
        <v>223</v>
      </c>
      <c r="L22" t="s">
        <v>224</v>
      </c>
    </row>
    <row r="23" spans="1:36">
      <c r="A23" s="3">
        <v>22</v>
      </c>
      <c r="B23" t="s">
        <v>225</v>
      </c>
      <c r="C23" s="3" t="s">
        <v>278</v>
      </c>
      <c r="D23" s="20">
        <v>45300.0</v>
      </c>
      <c r="E23" t="s">
        <v>279</v>
      </c>
      <c r="F23" s="3" t="s">
        <v>69</v>
      </c>
      <c r="G23" t="s">
        <v>70</v>
      </c>
      <c r="H23" s="3" t="s">
        <v>221</v>
      </c>
      <c r="I23" s="4">
        <v>2.0</v>
      </c>
      <c r="J23" t="s">
        <v>228</v>
      </c>
      <c r="K23" t="s">
        <v>223</v>
      </c>
      <c r="L23" t="s">
        <v>242</v>
      </c>
    </row>
    <row r="24" spans="1:36">
      <c r="A24" s="3">
        <v>23</v>
      </c>
      <c r="B24" t="s">
        <v>225</v>
      </c>
      <c r="C24" s="3" t="s">
        <v>280</v>
      </c>
      <c r="D24" s="20">
        <v>45176.0</v>
      </c>
      <c r="E24" t="s">
        <v>281</v>
      </c>
      <c r="F24" s="3" t="s">
        <v>190</v>
      </c>
      <c r="G24" t="s">
        <v>191</v>
      </c>
      <c r="H24" s="3" t="s">
        <v>221</v>
      </c>
      <c r="I24" s="4">
        <v>4.0</v>
      </c>
      <c r="J24" t="s">
        <v>233</v>
      </c>
      <c r="K24" t="s">
        <v>229</v>
      </c>
      <c r="L24" t="s">
        <v>282</v>
      </c>
    </row>
    <row r="25" spans="1:36">
      <c r="A25" s="3">
        <v>24</v>
      </c>
      <c r="B25" t="s">
        <v>230</v>
      </c>
      <c r="C25" s="3" t="s">
        <v>283</v>
      </c>
      <c r="D25" s="20">
        <v>45287.0</v>
      </c>
      <c r="E25" t="s">
        <v>284</v>
      </c>
      <c r="F25" s="3" t="s">
        <v>53</v>
      </c>
      <c r="G25" t="s">
        <v>54</v>
      </c>
      <c r="H25" s="3" t="s">
        <v>221</v>
      </c>
      <c r="I25" s="4">
        <v>1.0</v>
      </c>
      <c r="J25" t="s">
        <v>233</v>
      </c>
      <c r="K25" t="s">
        <v>229</v>
      </c>
      <c r="L25" t="s">
        <v>285</v>
      </c>
    </row>
    <row r="26" spans="1:36">
      <c r="A26" s="3">
        <v>25</v>
      </c>
      <c r="B26" t="s">
        <v>286</v>
      </c>
      <c r="C26" s="3" t="s">
        <v>287</v>
      </c>
      <c r="D26" s="20">
        <v>45316.0</v>
      </c>
      <c r="E26" t="s">
        <v>288</v>
      </c>
      <c r="F26" s="3" t="s">
        <v>53</v>
      </c>
      <c r="G26" t="s">
        <v>54</v>
      </c>
      <c r="H26" s="3" t="s">
        <v>221</v>
      </c>
      <c r="I26" s="4">
        <v>1.0</v>
      </c>
      <c r="J26" t="s">
        <v>233</v>
      </c>
      <c r="K26" t="s">
        <v>229</v>
      </c>
      <c r="L26" t="s">
        <v>289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2024-03-19T14:18:02+07:00</dcterms:created>
  <dcterms:modified xsi:type="dcterms:W3CDTF">2024-03-19T14:18:02+07:00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