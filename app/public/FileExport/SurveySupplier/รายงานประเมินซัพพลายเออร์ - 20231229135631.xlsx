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<sst xmlns="http://schemas.openxmlformats.org/spreadsheetml/2006/main" uniqueCount="129">
  <si>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</si>
  <si>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</si>
  <si>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</si>
  <si>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</si>
  <si>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</si>
  <si>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</si>
  <si>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</si>
  <si>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</si>
  <si>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</si>
  <si>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</si>
  <si>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</si>
  <si>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</si>
  <si>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</si>
  <si>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</si>
  <si>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</si>
  <si>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</si>
  <si>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</si>
  <si>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</si>
  <si>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</si>
  <si>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</si>
  <si>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</si>
  <si>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</si>
  <si>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</si>
  <si>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</si>
  <si>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</si>
  <si>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</si>
  <si>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</si>
  <si>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</si>
  <si>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</si>
  <si>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</si>
  <si>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</si>
  <si>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</si>
  <si>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</si>
  <si>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</si>
  <si>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</si>
  <si>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</si>
  <si>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</si>
  <si>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</si>
  <si>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</si>
  <si>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</si>
  <si>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</si>
  <si>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</si>
  <si>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</si>
  <si>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13-010-215</t>
  </si>
  <si>
    <t>สามทางหางปลา E 3 หุน (10H)</t>
  </si>
  <si>
    <t>A</t>
  </si>
  <si>
    <t>03-004-101</t>
  </si>
  <si>
    <t>ข้อต่อ SM40 เกลียวนอกเมีย 4หุน</t>
  </si>
  <si>
    <t>M</t>
  </si>
  <si>
    <t>03-004-073</t>
  </si>
  <si>
    <t>ข้อต่อ SM30 เกลียวนอกเมีย 3หุน</t>
  </si>
  <si>
    <t>DEAD</t>
  </si>
  <si>
    <t>03-004-074</t>
  </si>
  <si>
    <t>ข้อต่อ PM30 เกลียวนอกผู้ 3หุน</t>
  </si>
  <si>
    <t>D22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</si>
  <si>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</si>
  <si>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</si>
  <si>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</si>
  <si>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</si>
  <si>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</si>
  <si>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</si>
  <si>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</si>
  <si>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</si>
  <si>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</si>
  <si>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</si>
  <si>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</si>
  <si>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</si>
  <si>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</si>
  <si>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</si>
  <si>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</si>
  <si>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</si>
  <si>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</si>
  <si>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</si>
  <si>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</si>
  <si>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</si>
  <si>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</si>
  <si>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</si>
  <si>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03-004-135</t>
  </si>
  <si>
    <t>ข้อต่อ PF30 เกลียวในผู้ 3หุน</t>
  </si>
  <si>
    <t>03-004-227</t>
  </si>
  <si>
    <t>ข้อต่อ One touch หางยาวเมีย SH20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</si>
  <si>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</si>
  <si>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</si>
  <si>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</si>
  <si>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</si>
  <si>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</si>
  <si>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</si>
  <si>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</si>
  <si>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</si>
  <si>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</si>
  <si>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</si>
  <si>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</si>
  <si>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</si>
  <si>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</si>
  <si>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</si>
  <si>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</si>
  <si>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</si>
  <si>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03-006-403</t>
  </si>
  <si>
    <t>ข้อต่อตรงลด PG08-06</t>
  </si>
  <si>
    <t>13-010-302</t>
  </si>
  <si>
    <t>บอลวาล์ว E เมีย เมีย 3 หุน (3/8F*3/8F)</t>
  </si>
  <si>
    <t>D</t>
  </si>
  <si>
    <t>13-010-306</t>
  </si>
  <si>
    <t>บอลวาล์ว E เมีย-ปลา (3/8F-8H)</t>
  </si>
  <si>
    <t>13-010-312</t>
  </si>
  <si>
    <t>บอลวาล์ว E ผู้-ปลา (3/8M-8H)</t>
  </si>
  <si>
    <t>13-010-315</t>
  </si>
  <si>
    <t>บอลวาล์ว E ผู้-ผู้ (3/8M-3/8M)</t>
  </si>
  <si>
    <t>ZZ-000-328</t>
  </si>
  <si>
    <t>ฟิตติ้งซ์ 2 ทางตรง 8 มิล (SPU 8)</t>
  </si>
  <si>
    <t>ZZ-000-330</t>
  </si>
  <si>
    <t>ข้อต่อตรง แบบลด 8-4 มิล (SPG 8-4)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</si>
  <si>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</si>
  <si>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</si>
  <si>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</si>
  <si>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</si>
  <si>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</si>
  <si>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</si>
  <si>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</si>
  <si>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</si>
  <si>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</si>
  <si>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</si>
  <si>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</si>
  <si>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PE-65031013</t>
  </si>
  <si>
    <t>K-00178 - เพื่อนเกษตรปากช่อง</t>
  </si>
  <si>
    <t>WP5</t>
  </si>
  <si>
    <t>อัน</t>
  </si>
  <si>
    <t>ชำรุดจากโรงงาน</t>
  </si>
  <si>
    <t>ข้อต่อเป็นหางยาวผู้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</si>
</sst>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35" sqref="AW3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100.0</v>
      </c>
      <c r="F3" s="5">
        <v>3183.3</v>
      </c>
      <c r="G3" s="4">
        <v>300.0</v>
      </c>
      <c r="H3" s="5">
        <v>11235.0</v>
      </c>
      <c r="I3" s="6">
        <v>0</v>
      </c>
      <c r="J3" s="6">
        <v>0</v>
      </c>
      <c r="K3" s="4">
        <v>28.0</v>
      </c>
      <c r="L3" s="5">
        <v>1048.6</v>
      </c>
      <c r="M3" s="7">
        <v>1.0</v>
      </c>
      <c r="N3" s="4">
        <v>132.0</v>
      </c>
      <c r="O3" s="4">
        <v>12.0</v>
      </c>
      <c r="P3" s="4">
        <v>22.0</v>
      </c>
      <c r="Q3" s="4">
        <v>2.0</v>
      </c>
      <c r="R3" s="4">
        <v>78.0</v>
      </c>
      <c r="S3" s="5">
        <v>2921.1</v>
      </c>
      <c r="T3" s="4">
        <v>1.833333</v>
      </c>
      <c r="U3" s="8">
        <v>42.545462280993</v>
      </c>
      <c r="V3" s="5">
        <v>4452.012</v>
      </c>
      <c r="W3" s="5">
        <v>33.727363636364</v>
      </c>
      <c r="X3" s="5">
        <v>5850.217</v>
      </c>
      <c r="Y3" s="5">
        <v>44.319825757576</v>
      </c>
      <c r="Z3" s="5">
        <v>1398.205</v>
      </c>
      <c r="AA3" s="5">
        <v>10.592462121212</v>
      </c>
      <c r="AB3" s="9">
        <v>0.23900053621943</v>
      </c>
      <c r="AC3" s="4">
        <v>132.0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772.31</v>
      </c>
      <c r="AK3" s="5">
        <v>35.105</v>
      </c>
      <c r="AL3" s="5">
        <v>1184.944</v>
      </c>
      <c r="AM3" s="5">
        <v>53.861090909091</v>
      </c>
      <c r="AN3" s="5">
        <v>412.634</v>
      </c>
      <c r="AO3" s="5">
        <v>18.756090909091</v>
      </c>
      <c r="AP3" s="10">
        <v>0.3482308024683</v>
      </c>
      <c r="AQ3" s="4">
        <v>22.0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130.0</v>
      </c>
      <c r="F4" s="5">
        <v>7302.75</v>
      </c>
      <c r="G4" s="4">
        <v>20.0</v>
      </c>
      <c r="H4" s="5">
        <v>1284.0</v>
      </c>
      <c r="I4" s="4">
        <v>200.0</v>
      </c>
      <c r="J4" s="5">
        <v>12840.0</v>
      </c>
      <c r="K4" s="4">
        <v>257.090904</v>
      </c>
      <c r="L4" s="5">
        <v>16505.236037</v>
      </c>
      <c r="M4" s="7">
        <v>0.22206504824457</v>
      </c>
      <c r="N4" s="4">
        <v>36.0</v>
      </c>
      <c r="O4" s="4">
        <v>3.272727</v>
      </c>
      <c r="P4" s="4">
        <v>188.0</v>
      </c>
      <c r="Q4" s="4">
        <v>18.363636</v>
      </c>
      <c r="R4" s="4">
        <v>24.0</v>
      </c>
      <c r="S4" s="5">
        <v>1540.8</v>
      </c>
      <c r="T4" s="4">
        <v>15.666666</v>
      </c>
      <c r="U4" s="11">
        <v>1.5319149588049</v>
      </c>
      <c r="V4" s="5">
        <v>1950.0</v>
      </c>
      <c r="W4" s="5">
        <v>54.166666666667</v>
      </c>
      <c r="X4" s="5">
        <v>3287.852</v>
      </c>
      <c r="Y4" s="5">
        <v>91.329222222222</v>
      </c>
      <c r="Z4" s="5">
        <v>1337.852</v>
      </c>
      <c r="AA4" s="5">
        <v>37.162555555556</v>
      </c>
      <c r="AB4" s="10">
        <v>0.40690761019657</v>
      </c>
      <c r="AC4" s="4">
        <v>36.0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11518.9</v>
      </c>
      <c r="AK4" s="5">
        <v>61.270744680851</v>
      </c>
      <c r="AL4" s="5">
        <v>17647.411</v>
      </c>
      <c r="AM4" s="5">
        <v>93.869207446809</v>
      </c>
      <c r="AN4" s="5">
        <v>6128.511</v>
      </c>
      <c r="AO4" s="5">
        <v>32.598462765957</v>
      </c>
      <c r="AP4" s="10">
        <v>0.34727535954141</v>
      </c>
      <c r="AQ4" s="4">
        <v>188.0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4">
        <v>50.0</v>
      </c>
      <c r="F5" s="5">
        <v>2621.5</v>
      </c>
      <c r="G5" s="6">
        <v>0</v>
      </c>
      <c r="H5" s="6">
        <v>0</v>
      </c>
      <c r="I5" s="4">
        <v>50.0</v>
      </c>
      <c r="J5" s="5">
        <v>2996.0</v>
      </c>
      <c r="K5" s="4">
        <v>63.636356</v>
      </c>
      <c r="L5" s="5">
        <v>3813.090452</v>
      </c>
      <c r="M5" s="7">
        <v>0.21428561999999</v>
      </c>
      <c r="N5" s="6">
        <v>0</v>
      </c>
      <c r="O5" s="6">
        <v>0</v>
      </c>
      <c r="P5" s="4">
        <v>50.0</v>
      </c>
      <c r="Q5" s="4">
        <v>4.545454</v>
      </c>
      <c r="R5" s="6">
        <v>0</v>
      </c>
      <c r="S5" s="6">
        <v>0</v>
      </c>
      <c r="T5" s="4">
        <v>4.166666</v>
      </c>
      <c r="U5" s="12" t="s">
        <v>51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3">
        <v>0</v>
      </c>
      <c r="AC5" s="6">
        <v>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2800.0</v>
      </c>
      <c r="AK5" s="5">
        <v>56.0</v>
      </c>
      <c r="AL5" s="5">
        <v>4677.852</v>
      </c>
      <c r="AM5" s="5">
        <v>93.55704</v>
      </c>
      <c r="AN5" s="5">
        <v>1877.852</v>
      </c>
      <c r="AO5" s="5">
        <v>37.55704</v>
      </c>
      <c r="AP5" s="10">
        <v>0.40143467557332</v>
      </c>
      <c r="AQ5" s="4">
        <v>50.0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52</v>
      </c>
      <c r="C6" t="s">
        <v>53</v>
      </c>
      <c r="D6" s="3" t="s">
        <v>54</v>
      </c>
      <c r="E6" s="6">
        <v>0</v>
      </c>
      <c r="F6" s="6">
        <v>0</v>
      </c>
      <c r="G6" s="6">
        <v>0</v>
      </c>
      <c r="H6" s="6">
        <v>0</v>
      </c>
      <c r="I6" s="4">
        <v>100.0</v>
      </c>
      <c r="J6" s="5">
        <v>1712.0</v>
      </c>
      <c r="K6" s="4">
        <v>58.545452</v>
      </c>
      <c r="L6" s="5">
        <v>1002.298138</v>
      </c>
      <c r="M6" s="13">
        <v>-0.7080746084256</v>
      </c>
      <c r="N6" s="4">
        <v>14.0</v>
      </c>
      <c r="O6" s="4">
        <v>1.272727</v>
      </c>
      <c r="P6" s="4">
        <v>46.0</v>
      </c>
      <c r="Q6" s="4">
        <v>4.181818</v>
      </c>
      <c r="R6" s="4">
        <v>76.0</v>
      </c>
      <c r="S6" s="5">
        <v>1301.12</v>
      </c>
      <c r="T6" s="4">
        <v>3.833333</v>
      </c>
      <c r="U6" s="8">
        <v>19.826088680529</v>
      </c>
      <c r="V6" s="5">
        <v>196.0</v>
      </c>
      <c r="W6" s="5">
        <v>14.0</v>
      </c>
      <c r="X6" s="5">
        <v>220.562</v>
      </c>
      <c r="Y6" s="5">
        <v>15.754428571429</v>
      </c>
      <c r="Z6" s="5">
        <v>24.562</v>
      </c>
      <c r="AA6" s="5">
        <v>1.7544285714286</v>
      </c>
      <c r="AB6" s="9">
        <v>0.11136097786563</v>
      </c>
      <c r="AC6" s="4">
        <v>14.0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692.0</v>
      </c>
      <c r="AK6" s="5">
        <v>15.04347826087</v>
      </c>
      <c r="AL6" s="5">
        <v>1140.17</v>
      </c>
      <c r="AM6" s="5">
        <v>24.786304347826</v>
      </c>
      <c r="AN6" s="5">
        <v>448.17</v>
      </c>
      <c r="AO6" s="5">
        <v>9.7428260869565</v>
      </c>
      <c r="AP6" s="10">
        <v>0.39307296280379</v>
      </c>
      <c r="AQ6" s="4">
        <v>46.0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55</v>
      </c>
      <c r="C7" t="s">
        <v>56</v>
      </c>
      <c r="D7" s="3" t="s">
        <v>48</v>
      </c>
      <c r="E7" s="4">
        <v>150.0</v>
      </c>
      <c r="F7" s="5">
        <v>7864.5</v>
      </c>
      <c r="G7" s="6">
        <v>0</v>
      </c>
      <c r="H7" s="6">
        <v>0</v>
      </c>
      <c r="I7" s="4">
        <v>20.0</v>
      </c>
      <c r="J7" s="5">
        <v>1198.4</v>
      </c>
      <c r="K7" s="4">
        <v>82.72726</v>
      </c>
      <c r="L7" s="5">
        <v>4957.017419</v>
      </c>
      <c r="M7" s="7">
        <v>0.75824172104818</v>
      </c>
      <c r="N7" s="4">
        <v>44.0</v>
      </c>
      <c r="O7" s="4">
        <v>4.363636</v>
      </c>
      <c r="P7" s="4">
        <v>65.0</v>
      </c>
      <c r="Q7" s="4">
        <v>5.90909</v>
      </c>
      <c r="R7" s="6">
        <v>0</v>
      </c>
      <c r="S7" s="6">
        <v>0</v>
      </c>
      <c r="T7" s="4">
        <v>5.416666</v>
      </c>
      <c r="U7" s="12" t="s">
        <v>51</v>
      </c>
      <c r="V7" s="5">
        <v>2156.0</v>
      </c>
      <c r="W7" s="5">
        <v>49.0</v>
      </c>
      <c r="X7" s="5">
        <v>2946.218</v>
      </c>
      <c r="Y7" s="5">
        <v>66.9595</v>
      </c>
      <c r="Z7" s="5">
        <v>790.218</v>
      </c>
      <c r="AA7" s="5">
        <v>17.9595</v>
      </c>
      <c r="AB7" s="10">
        <v>0.26821436838686</v>
      </c>
      <c r="AC7" s="4">
        <v>44.0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3311.315</v>
      </c>
      <c r="AK7" s="5">
        <v>50.943307692308</v>
      </c>
      <c r="AL7" s="5">
        <v>6879.166</v>
      </c>
      <c r="AM7" s="5">
        <v>105.83332307692</v>
      </c>
      <c r="AN7" s="5">
        <v>3567.851</v>
      </c>
      <c r="AO7" s="5">
        <v>54.890015384615</v>
      </c>
      <c r="AP7" s="10">
        <v>0.51864586492025</v>
      </c>
      <c r="AQ7" s="4">
        <v>65.0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57</v>
      </c>
      <c r="C8" t="s">
        <v>58</v>
      </c>
      <c r="D8" s="3" t="s">
        <v>48</v>
      </c>
      <c r="E8" s="4">
        <v>150.0</v>
      </c>
      <c r="F8" s="5">
        <v>2247.0</v>
      </c>
      <c r="G8" s="6">
        <v>0</v>
      </c>
      <c r="H8" s="6">
        <v>0</v>
      </c>
      <c r="I8" s="4">
        <v>20.0</v>
      </c>
      <c r="J8" s="5">
        <v>342.4</v>
      </c>
      <c r="K8" s="4">
        <v>124.72726</v>
      </c>
      <c r="L8" s="5">
        <v>2135.330691</v>
      </c>
      <c r="M8" s="7">
        <v>0.83965012941036</v>
      </c>
      <c r="N8" s="4">
        <v>19.0</v>
      </c>
      <c r="O8" s="4">
        <v>1.727272</v>
      </c>
      <c r="P8" s="4">
        <v>97.0</v>
      </c>
      <c r="Q8" s="4">
        <v>8.90909</v>
      </c>
      <c r="R8" s="4">
        <v>53.0</v>
      </c>
      <c r="S8" s="5">
        <v>907.36</v>
      </c>
      <c r="T8" s="4">
        <v>8.083333</v>
      </c>
      <c r="U8" s="8">
        <v>6.5567013013073</v>
      </c>
      <c r="V8" s="5">
        <v>266.0</v>
      </c>
      <c r="W8" s="5">
        <v>14.0</v>
      </c>
      <c r="X8" s="5">
        <v>206.558</v>
      </c>
      <c r="Y8" s="5">
        <v>10.871473684211</v>
      </c>
      <c r="Z8" s="5">
        <v>-59.442</v>
      </c>
      <c r="AA8" s="5">
        <v>-3.1285263157895</v>
      </c>
      <c r="AB8" s="14">
        <v>-0.28777389401524</v>
      </c>
      <c r="AC8" s="4">
        <v>19.0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1358.0</v>
      </c>
      <c r="AK8" s="5">
        <v>14.0</v>
      </c>
      <c r="AL8" s="5">
        <v>2694.732</v>
      </c>
      <c r="AM8" s="5">
        <v>27.780742268041</v>
      </c>
      <c r="AN8" s="5">
        <v>1336.732</v>
      </c>
      <c r="AO8" s="5">
        <v>13.780742268041</v>
      </c>
      <c r="AP8" s="10">
        <v>0.49605378197164</v>
      </c>
      <c r="AQ8" s="4">
        <v>97.0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59</v>
      </c>
      <c r="C9" t="s">
        <v>60</v>
      </c>
      <c r="D9" s="3" t="s">
        <v>48</v>
      </c>
      <c r="E9" s="4">
        <v>150.0</v>
      </c>
      <c r="F9" s="5">
        <v>7864.5</v>
      </c>
      <c r="G9" s="6">
        <v>0</v>
      </c>
      <c r="H9" s="6">
        <v>0</v>
      </c>
      <c r="I9" s="4">
        <v>100.0</v>
      </c>
      <c r="J9" s="5">
        <v>5992.0</v>
      </c>
      <c r="K9" s="4">
        <v>128.545452</v>
      </c>
      <c r="L9" s="5">
        <v>7702.443484</v>
      </c>
      <c r="M9" s="7">
        <v>0.22206504824457</v>
      </c>
      <c r="N9" s="4">
        <v>49.0</v>
      </c>
      <c r="O9" s="4">
        <v>4.454545</v>
      </c>
      <c r="P9" s="4">
        <v>101.0</v>
      </c>
      <c r="Q9" s="4">
        <v>9.181818</v>
      </c>
      <c r="R9" s="4">
        <v>19.0</v>
      </c>
      <c r="S9" s="5">
        <v>1138.48</v>
      </c>
      <c r="T9" s="4">
        <v>8.416666</v>
      </c>
      <c r="U9" s="11">
        <v>2.2574259213803</v>
      </c>
      <c r="V9" s="5">
        <v>2401.0</v>
      </c>
      <c r="W9" s="5">
        <v>49.0</v>
      </c>
      <c r="X9" s="5">
        <v>2667.282</v>
      </c>
      <c r="Y9" s="5">
        <v>54.434326530612</v>
      </c>
      <c r="Z9" s="5">
        <v>266.282</v>
      </c>
      <c r="AA9" s="5">
        <v>5.4343265306122</v>
      </c>
      <c r="AB9" s="9">
        <v>0.099832713601336</v>
      </c>
      <c r="AC9" s="4">
        <v>49.0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5571.0</v>
      </c>
      <c r="AK9" s="5">
        <v>55.158415841584</v>
      </c>
      <c r="AL9" s="5">
        <v>9374.906</v>
      </c>
      <c r="AM9" s="5">
        <v>92.820851485149</v>
      </c>
      <c r="AN9" s="5">
        <v>3803.906</v>
      </c>
      <c r="AO9" s="5">
        <v>37.662435643564</v>
      </c>
      <c r="AP9" s="10">
        <v>0.40575404169386</v>
      </c>
      <c r="AQ9" s="4">
        <v>101.0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61</v>
      </c>
      <c r="C10" t="s">
        <v>62</v>
      </c>
      <c r="D10" s="3" t="s">
        <v>48</v>
      </c>
      <c r="E10" s="4">
        <v>100.0</v>
      </c>
      <c r="F10" s="5">
        <v>5617.5</v>
      </c>
      <c r="G10" s="6">
        <v>0</v>
      </c>
      <c r="H10" s="6">
        <v>0</v>
      </c>
      <c r="I10" s="4">
        <v>100.0</v>
      </c>
      <c r="J10" s="5">
        <v>6420.0</v>
      </c>
      <c r="K10" s="4">
        <v>43.272726</v>
      </c>
      <c r="L10" s="5">
        <v>2778.109009</v>
      </c>
      <c r="M10" s="13">
        <v>-1.3109244377163</v>
      </c>
      <c r="N10" s="4">
        <v>87.0</v>
      </c>
      <c r="O10" s="4">
        <v>7.90909</v>
      </c>
      <c r="P10" s="4">
        <v>34.0</v>
      </c>
      <c r="Q10" s="4">
        <v>3.090909</v>
      </c>
      <c r="R10" s="4">
        <v>94.0</v>
      </c>
      <c r="S10" s="5">
        <v>6034.8</v>
      </c>
      <c r="T10" s="4">
        <v>2.833333</v>
      </c>
      <c r="U10" s="8">
        <v>33.17647449135</v>
      </c>
      <c r="V10" s="5">
        <v>4567.5</v>
      </c>
      <c r="W10" s="5">
        <v>52.5</v>
      </c>
      <c r="X10" s="5">
        <v>5527.342</v>
      </c>
      <c r="Y10" s="5">
        <v>63.532666666667</v>
      </c>
      <c r="Z10" s="5">
        <v>959.842</v>
      </c>
      <c r="AA10" s="5">
        <v>11.032666666667</v>
      </c>
      <c r="AB10" s="9">
        <v>0.17365344861961</v>
      </c>
      <c r="AC10" s="4">
        <v>87.0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1825.833</v>
      </c>
      <c r="AK10" s="5">
        <v>53.700970588235</v>
      </c>
      <c r="AL10" s="5">
        <v>3099.715</v>
      </c>
      <c r="AM10" s="5">
        <v>91.168088235294</v>
      </c>
      <c r="AN10" s="5">
        <v>1273.882</v>
      </c>
      <c r="AO10" s="5">
        <v>37.467117647059</v>
      </c>
      <c r="AP10" s="10">
        <v>0.41096745991164</v>
      </c>
      <c r="AQ10" s="4">
        <v>34.0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63</v>
      </c>
      <c r="C11" t="s">
        <v>64</v>
      </c>
      <c r="D11" s="3" t="s">
        <v>48</v>
      </c>
      <c r="E11" s="4">
        <v>150.0</v>
      </c>
      <c r="F11" s="5">
        <v>2527.95</v>
      </c>
      <c r="G11" s="6">
        <v>0</v>
      </c>
      <c r="H11" s="6">
        <v>0</v>
      </c>
      <c r="I11" s="4">
        <v>100.0</v>
      </c>
      <c r="J11" s="5">
        <v>1926.0</v>
      </c>
      <c r="K11" s="4">
        <v>28.0</v>
      </c>
      <c r="L11" s="5">
        <v>539.28</v>
      </c>
      <c r="M11" s="13">
        <v>-2.5714285714286</v>
      </c>
      <c r="N11" s="4">
        <v>63.0</v>
      </c>
      <c r="O11" s="4">
        <v>5.727272</v>
      </c>
      <c r="P11" s="4">
        <v>22.0</v>
      </c>
      <c r="Q11" s="4">
        <v>2.0</v>
      </c>
      <c r="R11" s="4">
        <v>106.0</v>
      </c>
      <c r="S11" s="5">
        <v>2041.56</v>
      </c>
      <c r="T11" s="4">
        <v>1.833333</v>
      </c>
      <c r="U11" s="8">
        <v>57.81819233058</v>
      </c>
      <c r="V11" s="5">
        <v>992.25</v>
      </c>
      <c r="W11" s="5">
        <v>15.75</v>
      </c>
      <c r="X11" s="5">
        <v>1307.48</v>
      </c>
      <c r="Y11" s="5">
        <v>20.753650793651</v>
      </c>
      <c r="Z11" s="5">
        <v>315.23</v>
      </c>
      <c r="AA11" s="5">
        <v>5.0036507936508</v>
      </c>
      <c r="AB11" s="9">
        <v>0.24109737816257</v>
      </c>
      <c r="AC11" s="4">
        <v>63.0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368.031</v>
      </c>
      <c r="AK11" s="5">
        <v>16.728681818182</v>
      </c>
      <c r="AL11" s="5">
        <v>538.34</v>
      </c>
      <c r="AM11" s="5">
        <v>24.47</v>
      </c>
      <c r="AN11" s="5">
        <v>170.309</v>
      </c>
      <c r="AO11" s="5">
        <v>7.7413181818182</v>
      </c>
      <c r="AP11" s="10">
        <v>0.31635954972694</v>
      </c>
      <c r="AQ11" s="4">
        <v>22.0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65</v>
      </c>
      <c r="C12" t="s">
        <v>66</v>
      </c>
      <c r="D12" s="3" t="s">
        <v>48</v>
      </c>
      <c r="E12" s="4">
        <v>100.0</v>
      </c>
      <c r="F12" s="5">
        <v>1685.3</v>
      </c>
      <c r="G12" s="6">
        <v>0</v>
      </c>
      <c r="H12" s="6">
        <v>0</v>
      </c>
      <c r="I12" s="4">
        <v>200.0</v>
      </c>
      <c r="J12" s="5">
        <v>3852.0</v>
      </c>
      <c r="K12" s="4">
        <v>187.090904</v>
      </c>
      <c r="L12" s="5">
        <v>3603.370811</v>
      </c>
      <c r="M12" s="13">
        <v>-0.068999057271111</v>
      </c>
      <c r="N12" s="4">
        <v>51.0</v>
      </c>
      <c r="O12" s="4">
        <v>4.636363</v>
      </c>
      <c r="P12" s="4">
        <v>97.0</v>
      </c>
      <c r="Q12" s="4">
        <v>13.363636</v>
      </c>
      <c r="R12" s="4">
        <v>150.0</v>
      </c>
      <c r="S12" s="5">
        <v>2889.0</v>
      </c>
      <c r="T12" s="4">
        <v>8.083333</v>
      </c>
      <c r="U12" s="8">
        <v>18.556701796153</v>
      </c>
      <c r="V12" s="5">
        <v>803.25</v>
      </c>
      <c r="W12" s="5">
        <v>15.75</v>
      </c>
      <c r="X12" s="5">
        <v>1013.932</v>
      </c>
      <c r="Y12" s="5">
        <v>19.881019607843</v>
      </c>
      <c r="Z12" s="5">
        <v>210.682</v>
      </c>
      <c r="AA12" s="5">
        <v>4.1310196078431</v>
      </c>
      <c r="AB12" s="9">
        <v>0.20778710998371</v>
      </c>
      <c r="AC12" s="4">
        <v>51.0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1640.25</v>
      </c>
      <c r="AK12" s="5">
        <v>16.909793814433</v>
      </c>
      <c r="AL12" s="5">
        <v>2332.893</v>
      </c>
      <c r="AM12" s="5">
        <v>24.050443298969</v>
      </c>
      <c r="AN12" s="5">
        <v>692.643</v>
      </c>
      <c r="AO12" s="5">
        <v>7.1406494845361</v>
      </c>
      <c r="AP12" s="10">
        <v>0.2969030298432</v>
      </c>
      <c r="AQ12" s="4">
        <v>97.0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67</v>
      </c>
      <c r="C13" t="s">
        <v>68</v>
      </c>
      <c r="D13" s="3" t="s">
        <v>48</v>
      </c>
      <c r="E13" s="4">
        <v>100.0</v>
      </c>
      <c r="F13" s="5">
        <v>1685.3</v>
      </c>
      <c r="G13" s="6">
        <v>0</v>
      </c>
      <c r="H13" s="6">
        <v>0</v>
      </c>
      <c r="I13" s="4">
        <v>100.0</v>
      </c>
      <c r="J13" s="5">
        <v>1926.0</v>
      </c>
      <c r="K13" s="4">
        <v>70.0</v>
      </c>
      <c r="L13" s="5">
        <v>1348.2</v>
      </c>
      <c r="M13" s="13">
        <v>-0.42857142857143</v>
      </c>
      <c r="N13" s="4">
        <v>54.0</v>
      </c>
      <c r="O13" s="4">
        <v>4.90909</v>
      </c>
      <c r="P13" s="4">
        <v>55.0</v>
      </c>
      <c r="Q13" s="4">
        <v>5.0</v>
      </c>
      <c r="R13" s="4">
        <v>125.0</v>
      </c>
      <c r="S13" s="5">
        <v>2407.5</v>
      </c>
      <c r="T13" s="4">
        <v>4.583333</v>
      </c>
      <c r="U13" s="8">
        <v>27.272729256198</v>
      </c>
      <c r="V13" s="5">
        <v>881.1</v>
      </c>
      <c r="W13" s="5">
        <v>16.316666666667</v>
      </c>
      <c r="X13" s="5">
        <v>1161.689</v>
      </c>
      <c r="Y13" s="5">
        <v>21.512759259259</v>
      </c>
      <c r="Z13" s="5">
        <v>280.589</v>
      </c>
      <c r="AA13" s="5">
        <v>5.1960925925926</v>
      </c>
      <c r="AB13" s="9">
        <v>0.24153538511598</v>
      </c>
      <c r="AC13" s="4">
        <v>54.0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917.82</v>
      </c>
      <c r="AK13" s="5">
        <v>16.687636363636</v>
      </c>
      <c r="AL13" s="5">
        <v>1385.03</v>
      </c>
      <c r="AM13" s="5">
        <v>25.182363636364</v>
      </c>
      <c r="AN13" s="5">
        <v>467.21</v>
      </c>
      <c r="AO13" s="5">
        <v>8.4947272727273</v>
      </c>
      <c r="AP13" s="10">
        <v>0.33732843331913</v>
      </c>
      <c r="AQ13" s="4">
        <v>55.0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69</v>
      </c>
      <c r="C14" t="s">
        <v>70</v>
      </c>
      <c r="D14" s="3" t="s">
        <v>48</v>
      </c>
      <c r="E14" s="4">
        <v>50.0</v>
      </c>
      <c r="F14" s="5">
        <v>2808.75</v>
      </c>
      <c r="G14" s="6">
        <v>0</v>
      </c>
      <c r="H14" s="6">
        <v>0</v>
      </c>
      <c r="I14" s="4">
        <v>100.0</v>
      </c>
      <c r="J14" s="5">
        <v>6420.0</v>
      </c>
      <c r="K14" s="4">
        <v>6.36363</v>
      </c>
      <c r="L14" s="5">
        <v>408.545046</v>
      </c>
      <c r="M14" s="13">
        <v>-14.714301428587</v>
      </c>
      <c r="N14" s="4">
        <v>14.0</v>
      </c>
      <c r="O14" s="4">
        <v>1.272727</v>
      </c>
      <c r="P14" s="4">
        <v>3.0</v>
      </c>
      <c r="Q14" s="4">
        <v>0.454545</v>
      </c>
      <c r="R14" s="4">
        <v>102.0</v>
      </c>
      <c r="S14" s="5">
        <v>6548.4</v>
      </c>
      <c r="T14" s="4">
        <v>0.25</v>
      </c>
      <c r="U14" s="8">
        <v>408.0</v>
      </c>
      <c r="V14" s="5">
        <v>735.0</v>
      </c>
      <c r="W14" s="5">
        <v>52.5</v>
      </c>
      <c r="X14" s="5">
        <v>560.75</v>
      </c>
      <c r="Y14" s="5">
        <v>40.053571428571</v>
      </c>
      <c r="Z14" s="5">
        <v>-174.25</v>
      </c>
      <c r="AA14" s="5">
        <v>-12.446428571429</v>
      </c>
      <c r="AB14" s="14">
        <v>-0.31074453856442</v>
      </c>
      <c r="AC14" s="4">
        <v>14.0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110.54</v>
      </c>
      <c r="AK14" s="5">
        <v>36.846666666667</v>
      </c>
      <c r="AL14" s="5">
        <v>218.687</v>
      </c>
      <c r="AM14" s="5">
        <v>72.895666666667</v>
      </c>
      <c r="AN14" s="5">
        <v>108.147</v>
      </c>
      <c r="AO14" s="5">
        <v>36.049</v>
      </c>
      <c r="AP14" s="10">
        <v>0.49452870998276</v>
      </c>
      <c r="AQ14" s="4">
        <v>3.0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71</v>
      </c>
      <c r="C15" t="s">
        <v>72</v>
      </c>
      <c r="D15" s="3" t="s">
        <v>48</v>
      </c>
      <c r="E15" s="4">
        <v>250.0</v>
      </c>
      <c r="F15" s="5">
        <v>4213.25</v>
      </c>
      <c r="G15" s="6">
        <v>0</v>
      </c>
      <c r="H15" s="6">
        <v>0</v>
      </c>
      <c r="I15" s="4">
        <v>100.0</v>
      </c>
      <c r="J15" s="5">
        <v>1926.0</v>
      </c>
      <c r="K15" s="4">
        <v>45.818178</v>
      </c>
      <c r="L15" s="5">
        <v>882.458108</v>
      </c>
      <c r="M15" s="13">
        <v>-1.182539864418</v>
      </c>
      <c r="N15" s="4">
        <v>134.0</v>
      </c>
      <c r="O15" s="4">
        <v>12.727272</v>
      </c>
      <c r="P15" s="4">
        <v>36.0</v>
      </c>
      <c r="Q15" s="4">
        <v>3.272727</v>
      </c>
      <c r="R15" s="4">
        <v>90.0</v>
      </c>
      <c r="S15" s="5">
        <v>1733.4</v>
      </c>
      <c r="T15" s="4">
        <v>3.0</v>
      </c>
      <c r="U15" s="8">
        <v>30.0</v>
      </c>
      <c r="V15" s="5">
        <v>2110.5</v>
      </c>
      <c r="W15" s="5">
        <v>15.75</v>
      </c>
      <c r="X15" s="5">
        <v>2953.053</v>
      </c>
      <c r="Y15" s="5">
        <v>22.037708955224</v>
      </c>
      <c r="Z15" s="5">
        <v>842.553</v>
      </c>
      <c r="AA15" s="5">
        <v>6.2877089552239</v>
      </c>
      <c r="AB15" s="10">
        <v>0.28531590865453</v>
      </c>
      <c r="AC15" s="4">
        <v>134.0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580.5</v>
      </c>
      <c r="AK15" s="5">
        <v>16.125</v>
      </c>
      <c r="AL15" s="5">
        <v>928.963</v>
      </c>
      <c r="AM15" s="5">
        <v>25.804527777778</v>
      </c>
      <c r="AN15" s="5">
        <v>348.463</v>
      </c>
      <c r="AO15" s="5">
        <v>9.6795277777778</v>
      </c>
      <c r="AP15" s="10">
        <v>0.37510966529345</v>
      </c>
      <c r="AQ15" s="4">
        <v>36.0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73</v>
      </c>
      <c r="C16" t="s">
        <v>74</v>
      </c>
      <c r="D16" s="3" t="s">
        <v>48</v>
      </c>
      <c r="E16" s="4">
        <v>200.0</v>
      </c>
      <c r="F16" s="5">
        <v>11235.0</v>
      </c>
      <c r="G16" s="6">
        <v>0</v>
      </c>
      <c r="H16" s="6">
        <v>0</v>
      </c>
      <c r="I16" s="4">
        <v>200.0</v>
      </c>
      <c r="J16" s="5">
        <v>12840.0</v>
      </c>
      <c r="K16" s="4">
        <v>174.36363</v>
      </c>
      <c r="L16" s="5">
        <v>11194.145046</v>
      </c>
      <c r="M16" s="13">
        <v>-0.14702819618977</v>
      </c>
      <c r="N16" s="4">
        <v>77.0</v>
      </c>
      <c r="O16" s="4">
        <v>7.0</v>
      </c>
      <c r="P16" s="4">
        <v>137.0</v>
      </c>
      <c r="Q16" s="4">
        <v>12.454545</v>
      </c>
      <c r="R16" s="4">
        <v>63.0</v>
      </c>
      <c r="S16" s="5">
        <v>4044.6</v>
      </c>
      <c r="T16" s="4">
        <v>11.416666</v>
      </c>
      <c r="U16" s="15">
        <v>5.518248497416</v>
      </c>
      <c r="V16" s="5">
        <v>4042.5</v>
      </c>
      <c r="W16" s="5">
        <v>52.5</v>
      </c>
      <c r="X16" s="5">
        <v>5304.689</v>
      </c>
      <c r="Y16" s="5">
        <v>68.892064935065</v>
      </c>
      <c r="Z16" s="5">
        <v>1262.189</v>
      </c>
      <c r="AA16" s="5">
        <v>16.392064935065</v>
      </c>
      <c r="AB16" s="9">
        <v>0.23793835981714</v>
      </c>
      <c r="AC16" s="4">
        <v>77.0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8175.0</v>
      </c>
      <c r="AK16" s="5">
        <v>59.671532846715</v>
      </c>
      <c r="AL16" s="5">
        <v>13674.591</v>
      </c>
      <c r="AM16" s="5">
        <v>99.814532846715</v>
      </c>
      <c r="AN16" s="5">
        <v>5499.591</v>
      </c>
      <c r="AO16" s="5">
        <v>40.143</v>
      </c>
      <c r="AP16" s="10">
        <v>0.40217590420072</v>
      </c>
      <c r="AQ16" s="4">
        <v>137.0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75</v>
      </c>
      <c r="C17" t="s">
        <v>76</v>
      </c>
      <c r="D17" s="3" t="s">
        <v>45</v>
      </c>
      <c r="E17" s="4">
        <v>500.0</v>
      </c>
      <c r="F17" s="5">
        <v>9630.0</v>
      </c>
      <c r="G17" s="6">
        <v>0</v>
      </c>
      <c r="H17" s="6">
        <v>0</v>
      </c>
      <c r="I17" s="6">
        <v>0</v>
      </c>
      <c r="J17" s="6">
        <v>0</v>
      </c>
      <c r="K17" s="4">
        <v>1751.272726</v>
      </c>
      <c r="L17" s="5">
        <v>43098.821787</v>
      </c>
      <c r="M17" s="7">
        <v>1.0</v>
      </c>
      <c r="N17" s="4">
        <v>1361.0</v>
      </c>
      <c r="O17" s="4">
        <v>118.0</v>
      </c>
      <c r="P17" s="4">
        <v>1448.0</v>
      </c>
      <c r="Q17" s="4">
        <v>125.090909</v>
      </c>
      <c r="R17" s="4">
        <v>479.0</v>
      </c>
      <c r="S17" s="5">
        <v>11788.19</v>
      </c>
      <c r="T17" s="4">
        <v>120.666666</v>
      </c>
      <c r="U17" s="11">
        <v>3.9696132816001</v>
      </c>
      <c r="V17" s="5">
        <v>31303.0</v>
      </c>
      <c r="W17" s="5">
        <v>23.0</v>
      </c>
      <c r="X17" s="5">
        <v>59426.646</v>
      </c>
      <c r="Y17" s="5">
        <v>43.663957384276</v>
      </c>
      <c r="Z17" s="5">
        <v>28123.646</v>
      </c>
      <c r="AA17" s="5">
        <v>20.663957384276</v>
      </c>
      <c r="AB17" s="10">
        <v>0.47324976072181</v>
      </c>
      <c r="AC17" s="4">
        <v>1361.0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32667.611</v>
      </c>
      <c r="AK17" s="5">
        <v>22.560504834254</v>
      </c>
      <c r="AL17" s="5">
        <v>61532.2</v>
      </c>
      <c r="AM17" s="5">
        <v>42.494613259669</v>
      </c>
      <c r="AN17" s="5">
        <v>28864.589</v>
      </c>
      <c r="AO17" s="5">
        <v>19.934108425414</v>
      </c>
      <c r="AP17" s="10">
        <v>0.46909730190047</v>
      </c>
      <c r="AQ17" s="4">
        <v>1448.0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77</v>
      </c>
      <c r="C18" t="s">
        <v>78</v>
      </c>
      <c r="D18" s="3" t="s">
        <v>48</v>
      </c>
      <c r="E18" s="4">
        <v>150.0</v>
      </c>
      <c r="F18" s="5">
        <v>2247.0</v>
      </c>
      <c r="G18" s="6">
        <v>0</v>
      </c>
      <c r="H18" s="6">
        <v>0</v>
      </c>
      <c r="I18" s="6">
        <v>0</v>
      </c>
      <c r="J18" s="6">
        <v>0</v>
      </c>
      <c r="K18" s="4">
        <v>40.72726</v>
      </c>
      <c r="L18" s="5">
        <v>610.094355</v>
      </c>
      <c r="M18" s="7">
        <v>1.0</v>
      </c>
      <c r="N18" s="4">
        <v>16.0</v>
      </c>
      <c r="O18" s="4">
        <v>1.454545</v>
      </c>
      <c r="P18" s="4">
        <v>32.0</v>
      </c>
      <c r="Q18" s="4">
        <v>2.90909</v>
      </c>
      <c r="R18" s="4">
        <v>23.0</v>
      </c>
      <c r="S18" s="5">
        <v>344.54</v>
      </c>
      <c r="T18" s="4">
        <v>2.666666</v>
      </c>
      <c r="U18" s="8">
        <v>8.6250021562505</v>
      </c>
      <c r="V18" s="5">
        <v>224.0</v>
      </c>
      <c r="W18" s="5">
        <v>14.0</v>
      </c>
      <c r="X18" s="5">
        <v>205.61</v>
      </c>
      <c r="Y18" s="5">
        <v>12.850625</v>
      </c>
      <c r="Z18" s="5">
        <v>-18.39</v>
      </c>
      <c r="AA18" s="5">
        <v>-1.149375</v>
      </c>
      <c r="AB18" s="14">
        <v>-0.089441175040124</v>
      </c>
      <c r="AC18" s="4">
        <v>16.0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448.0</v>
      </c>
      <c r="AK18" s="5">
        <v>14.0</v>
      </c>
      <c r="AL18" s="5">
        <v>887.73</v>
      </c>
      <c r="AM18" s="5">
        <v>27.7415625</v>
      </c>
      <c r="AN18" s="5">
        <v>439.73</v>
      </c>
      <c r="AO18" s="5">
        <v>13.7415625</v>
      </c>
      <c r="AP18" s="10">
        <v>0.49534205220056</v>
      </c>
      <c r="AQ18" s="4">
        <v>32.0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79</v>
      </c>
      <c r="C19" t="s">
        <v>80</v>
      </c>
      <c r="D19" s="3" t="s">
        <v>45</v>
      </c>
      <c r="E19" s="4">
        <v>50.0</v>
      </c>
      <c r="F19" s="5">
        <v>4025.9</v>
      </c>
      <c r="G19" s="6">
        <v>0</v>
      </c>
      <c r="H19" s="6">
        <v>0</v>
      </c>
      <c r="I19" s="6">
        <v>0</v>
      </c>
      <c r="J19" s="6">
        <v>0</v>
      </c>
      <c r="K19" s="4">
        <v>706.36363</v>
      </c>
      <c r="L19" s="5">
        <v>27731.836114</v>
      </c>
      <c r="M19" s="7">
        <v>1.0</v>
      </c>
      <c r="N19" s="4">
        <v>945.0</v>
      </c>
      <c r="O19" s="4">
        <v>85.363636</v>
      </c>
      <c r="P19" s="4">
        <v>567.0</v>
      </c>
      <c r="Q19" s="4">
        <v>50.454545</v>
      </c>
      <c r="R19" s="4">
        <v>1015.0</v>
      </c>
      <c r="S19" s="5">
        <v>39848.9</v>
      </c>
      <c r="T19" s="4">
        <v>47.25</v>
      </c>
      <c r="U19" s="8">
        <v>21.481481481481</v>
      </c>
      <c r="V19" s="5">
        <v>32947.29</v>
      </c>
      <c r="W19" s="5">
        <v>34.864857142857</v>
      </c>
      <c r="X19" s="5">
        <v>79541.785</v>
      </c>
      <c r="Y19" s="5">
        <v>84.171201058201</v>
      </c>
      <c r="Z19" s="5">
        <v>46594.495</v>
      </c>
      <c r="AA19" s="5">
        <v>49.306343915344</v>
      </c>
      <c r="AB19" s="10">
        <v>0.58578638887724</v>
      </c>
      <c r="AC19" s="4">
        <v>945.0</v>
      </c>
      <c r="AD19" s="4">
        <v>1.0</v>
      </c>
      <c r="AE19" s="4">
        <v>1.0</v>
      </c>
      <c r="AF19" s="6">
        <v>0</v>
      </c>
      <c r="AG19" s="16">
        <v>0.0010582010582011</v>
      </c>
      <c r="AH19" s="6">
        <v>0</v>
      </c>
      <c r="AI19" s="6">
        <v>0</v>
      </c>
      <c r="AJ19" s="5">
        <v>22701.412</v>
      </c>
      <c r="AK19" s="5">
        <v>40.03776366843</v>
      </c>
      <c r="AL19" s="5">
        <v>56800.653</v>
      </c>
      <c r="AM19" s="5">
        <v>100.17751851852</v>
      </c>
      <c r="AN19" s="5">
        <v>34099.241</v>
      </c>
      <c r="AO19" s="5">
        <v>60.139754850088</v>
      </c>
      <c r="AP19" s="10">
        <v>0.60033184829759</v>
      </c>
      <c r="AQ19" s="4">
        <v>567.0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81</v>
      </c>
      <c r="C20" t="s">
        <v>82</v>
      </c>
      <c r="D20" s="3" t="s">
        <v>45</v>
      </c>
      <c r="E20" s="4">
        <v>50.0</v>
      </c>
      <c r="F20" s="5">
        <v>4025.9</v>
      </c>
      <c r="G20" s="6">
        <v>0</v>
      </c>
      <c r="H20" s="6">
        <v>0</v>
      </c>
      <c r="I20" s="6">
        <v>0</v>
      </c>
      <c r="J20" s="6">
        <v>0</v>
      </c>
      <c r="K20" s="4">
        <v>8256.181808</v>
      </c>
      <c r="L20" s="5">
        <v>572235.961112</v>
      </c>
      <c r="M20" s="7">
        <v>1.0</v>
      </c>
      <c r="N20" s="4">
        <v>6432.0</v>
      </c>
      <c r="O20" s="4">
        <v>553.727272</v>
      </c>
      <c r="P20" s="4">
        <v>6913.0</v>
      </c>
      <c r="Q20" s="4">
        <v>589.727272</v>
      </c>
      <c r="R20" s="4">
        <v>2329.0</v>
      </c>
      <c r="S20" s="5">
        <v>161422.99</v>
      </c>
      <c r="T20" s="4">
        <v>581.916666</v>
      </c>
      <c r="U20" s="15">
        <v>4.0022912834052</v>
      </c>
      <c r="V20" s="5">
        <v>449153.69</v>
      </c>
      <c r="W20" s="5">
        <v>69.8311085199</v>
      </c>
      <c r="X20" s="5">
        <v>690747.349</v>
      </c>
      <c r="Y20" s="5">
        <v>107.39231172264</v>
      </c>
      <c r="Z20" s="5">
        <v>241593.659</v>
      </c>
      <c r="AA20" s="5">
        <v>37.561203202736</v>
      </c>
      <c r="AB20" s="10">
        <v>0.34975691090202</v>
      </c>
      <c r="AC20" s="4">
        <v>6432.0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5">
        <v>488833.08</v>
      </c>
      <c r="AK20" s="5">
        <v>70.712148126718</v>
      </c>
      <c r="AL20" s="5">
        <v>752794.582</v>
      </c>
      <c r="AM20" s="5">
        <v>108.89549862578</v>
      </c>
      <c r="AN20" s="5">
        <v>263961.502</v>
      </c>
      <c r="AO20" s="5">
        <v>38.18335049906</v>
      </c>
      <c r="AP20" s="10">
        <v>0.35064213838882</v>
      </c>
      <c r="AQ20" s="4">
        <v>6913.0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83</v>
      </c>
      <c r="C21" t="s">
        <v>84</v>
      </c>
      <c r="D21" s="3" t="s">
        <v>48</v>
      </c>
      <c r="E21" s="4">
        <v>50.0</v>
      </c>
      <c r="F21" s="5">
        <v>2621.5</v>
      </c>
      <c r="G21" s="6">
        <v>0</v>
      </c>
      <c r="H21" s="6">
        <v>0</v>
      </c>
      <c r="I21" s="4">
        <v>206.0</v>
      </c>
      <c r="J21" s="5">
        <v>12343.52</v>
      </c>
      <c r="K21" s="4">
        <v>255.818178</v>
      </c>
      <c r="L21" s="5">
        <v>15328.625226</v>
      </c>
      <c r="M21" s="7">
        <v>0.19474057078149</v>
      </c>
      <c r="N21" s="6">
        <v>0</v>
      </c>
      <c r="O21" s="6">
        <v>0</v>
      </c>
      <c r="P21" s="4">
        <v>201.0</v>
      </c>
      <c r="Q21" s="4">
        <v>18.272727</v>
      </c>
      <c r="R21" s="4">
        <v>5.0</v>
      </c>
      <c r="S21" s="5">
        <v>299.6</v>
      </c>
      <c r="T21" s="4">
        <v>16.75</v>
      </c>
      <c r="U21" s="11">
        <v>0.29850746268657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3">
        <v>0</v>
      </c>
      <c r="AC21" s="6">
        <v>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11256.0</v>
      </c>
      <c r="AK21" s="5">
        <v>56.0</v>
      </c>
      <c r="AL21" s="5">
        <v>17990.618</v>
      </c>
      <c r="AM21" s="5">
        <v>89.505562189055</v>
      </c>
      <c r="AN21" s="5">
        <v>6734.618</v>
      </c>
      <c r="AO21" s="5">
        <v>33.505562189055</v>
      </c>
      <c r="AP21" s="10">
        <v>0.37434055906251</v>
      </c>
      <c r="AQ21" s="4">
        <v>201.0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85</v>
      </c>
      <c r="C22" t="s">
        <v>86</v>
      </c>
      <c r="D22" s="3" t="s">
        <v>48</v>
      </c>
      <c r="E22" s="4">
        <v>200.0</v>
      </c>
      <c r="F22" s="5">
        <v>2996.0</v>
      </c>
      <c r="G22" s="6">
        <v>0</v>
      </c>
      <c r="H22" s="6">
        <v>0</v>
      </c>
      <c r="I22" s="6">
        <v>0</v>
      </c>
      <c r="J22" s="6">
        <v>0</v>
      </c>
      <c r="K22" s="4">
        <v>2.545452</v>
      </c>
      <c r="L22" s="5">
        <v>38.130871</v>
      </c>
      <c r="M22" s="7">
        <v>1.0</v>
      </c>
      <c r="N22" s="4">
        <v>16.0</v>
      </c>
      <c r="O22" s="4">
        <v>2.0</v>
      </c>
      <c r="P22" s="4">
        <v>2.0</v>
      </c>
      <c r="Q22" s="4">
        <v>0.181818</v>
      </c>
      <c r="R22" s="6">
        <v>0</v>
      </c>
      <c r="S22" s="6">
        <v>0</v>
      </c>
      <c r="T22" s="4">
        <v>0.166666</v>
      </c>
      <c r="U22" s="12" t="s">
        <v>51</v>
      </c>
      <c r="V22" s="5">
        <v>224.0</v>
      </c>
      <c r="W22" s="5">
        <v>14.0</v>
      </c>
      <c r="X22" s="5">
        <v>497.214</v>
      </c>
      <c r="Y22" s="5">
        <v>31.075875</v>
      </c>
      <c r="Z22" s="5">
        <v>273.214</v>
      </c>
      <c r="AA22" s="5">
        <v>17.075875</v>
      </c>
      <c r="AB22" s="10">
        <v>0.54948975692559</v>
      </c>
      <c r="AC22" s="4">
        <v>16.0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28.0</v>
      </c>
      <c r="AK22" s="5">
        <v>14.0</v>
      </c>
      <c r="AL22" s="5">
        <v>49.537</v>
      </c>
      <c r="AM22" s="5">
        <v>24.7685</v>
      </c>
      <c r="AN22" s="5">
        <v>21.537</v>
      </c>
      <c r="AO22" s="5">
        <v>10.7685</v>
      </c>
      <c r="AP22" s="10">
        <v>0.43476593253528</v>
      </c>
      <c r="AQ22" s="4">
        <v>2.0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87</v>
      </c>
      <c r="C23" t="s">
        <v>88</v>
      </c>
      <c r="D23" s="3" t="s">
        <v>54</v>
      </c>
      <c r="E23" s="6">
        <v>0</v>
      </c>
      <c r="F23" s="6">
        <v>0</v>
      </c>
      <c r="G23" s="6">
        <v>0</v>
      </c>
      <c r="H23" s="6">
        <v>0</v>
      </c>
      <c r="I23" s="4">
        <v>20.0</v>
      </c>
      <c r="J23" s="5">
        <v>222.56</v>
      </c>
      <c r="K23" s="4">
        <v>16.545452</v>
      </c>
      <c r="L23" s="5">
        <v>184.11779</v>
      </c>
      <c r="M23" s="13">
        <v>-0.20879139475912</v>
      </c>
      <c r="N23" s="4">
        <v>3.0</v>
      </c>
      <c r="O23" s="4">
        <v>0.272727</v>
      </c>
      <c r="P23" s="4">
        <v>13.0</v>
      </c>
      <c r="Q23" s="4">
        <v>1.181818</v>
      </c>
      <c r="R23" s="6">
        <v>0</v>
      </c>
      <c r="S23" s="6">
        <v>0</v>
      </c>
      <c r="T23" s="4">
        <v>1.083333</v>
      </c>
      <c r="U23" s="12" t="s">
        <v>51</v>
      </c>
      <c r="V23" s="5">
        <v>27.3</v>
      </c>
      <c r="W23" s="5">
        <v>9.1</v>
      </c>
      <c r="X23" s="5">
        <v>168.224</v>
      </c>
      <c r="Y23" s="5">
        <v>56.074666666667</v>
      </c>
      <c r="Z23" s="5">
        <v>140.924</v>
      </c>
      <c r="AA23" s="5">
        <v>46.974666666667</v>
      </c>
      <c r="AB23" s="10">
        <v>0.83771637816245</v>
      </c>
      <c r="AC23" s="4">
        <v>3.0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5">
        <v>74.702</v>
      </c>
      <c r="AK23" s="5">
        <v>5.7463076923077</v>
      </c>
      <c r="AL23" s="5">
        <v>429.903</v>
      </c>
      <c r="AM23" s="5">
        <v>33.069461538462</v>
      </c>
      <c r="AN23" s="5">
        <v>355.201</v>
      </c>
      <c r="AO23" s="5">
        <v>27.323153846154</v>
      </c>
      <c r="AP23" s="10">
        <v>0.82623522050323</v>
      </c>
      <c r="AQ23" s="4">
        <v>13.0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89</v>
      </c>
      <c r="C24" t="s">
        <v>90</v>
      </c>
      <c r="D24" s="3" t="s">
        <v>54</v>
      </c>
      <c r="E24" s="6">
        <v>0</v>
      </c>
      <c r="F24" s="6">
        <v>0</v>
      </c>
      <c r="G24" s="6">
        <v>0</v>
      </c>
      <c r="H24" s="6">
        <v>0</v>
      </c>
      <c r="I24" s="4">
        <v>20.0</v>
      </c>
      <c r="J24" s="5">
        <v>248.24</v>
      </c>
      <c r="K24" s="4">
        <v>12.72726</v>
      </c>
      <c r="L24" s="5">
        <v>157.970751</v>
      </c>
      <c r="M24" s="13">
        <v>-0.57143014285871</v>
      </c>
      <c r="N24" s="6">
        <v>0</v>
      </c>
      <c r="O24" s="6">
        <v>0</v>
      </c>
      <c r="P24" s="4">
        <v>10.0</v>
      </c>
      <c r="Q24" s="4">
        <v>0.90909</v>
      </c>
      <c r="R24" s="6">
        <v>0</v>
      </c>
      <c r="S24" s="6">
        <v>0</v>
      </c>
      <c r="T24" s="4">
        <v>0.833333</v>
      </c>
      <c r="U24" s="12" t="s">
        <v>51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3">
        <v>0</v>
      </c>
      <c r="AC24" s="6">
        <v>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5">
        <v>116.0</v>
      </c>
      <c r="AK24" s="5">
        <v>11.6</v>
      </c>
      <c r="AL24" s="5">
        <v>280.37</v>
      </c>
      <c r="AM24" s="5">
        <v>28.037</v>
      </c>
      <c r="AN24" s="5">
        <v>164.37</v>
      </c>
      <c r="AO24" s="5">
        <v>16.437</v>
      </c>
      <c r="AP24" s="10">
        <v>0.58626101223383</v>
      </c>
      <c r="AQ24" s="4">
        <v>10.0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91</v>
      </c>
      <c r="C25" t="s">
        <v>92</v>
      </c>
      <c r="D25" s="3" t="s">
        <v>48</v>
      </c>
      <c r="E25" s="4">
        <v>50.0</v>
      </c>
      <c r="F25" s="5">
        <v>580.5</v>
      </c>
      <c r="G25" s="6">
        <v>0</v>
      </c>
      <c r="H25" s="6">
        <v>0</v>
      </c>
      <c r="I25" s="4">
        <v>70.0</v>
      </c>
      <c r="J25" s="5">
        <v>928.76</v>
      </c>
      <c r="K25" s="4">
        <v>76.36363</v>
      </c>
      <c r="L25" s="5">
        <v>1013.192643</v>
      </c>
      <c r="M25" s="7">
        <v>0.083333256944438</v>
      </c>
      <c r="N25" s="4">
        <v>25.0</v>
      </c>
      <c r="O25" s="4">
        <v>2.272727</v>
      </c>
      <c r="P25" s="4">
        <v>60.0</v>
      </c>
      <c r="Q25" s="4">
        <v>5.454545</v>
      </c>
      <c r="R25" s="6">
        <v>0</v>
      </c>
      <c r="S25" s="6">
        <v>0</v>
      </c>
      <c r="T25" s="4">
        <v>5.0</v>
      </c>
      <c r="U25" s="12" t="s">
        <v>51</v>
      </c>
      <c r="V25" s="5">
        <v>271.25</v>
      </c>
      <c r="W25" s="5">
        <v>10.85</v>
      </c>
      <c r="X25" s="5">
        <v>764.402</v>
      </c>
      <c r="Y25" s="5">
        <v>30.57608</v>
      </c>
      <c r="Z25" s="5">
        <v>493.152</v>
      </c>
      <c r="AA25" s="5">
        <v>19.72608</v>
      </c>
      <c r="AB25" s="10">
        <v>0.6451474485938</v>
      </c>
      <c r="AC25" s="4">
        <v>25.0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5">
        <v>736.25</v>
      </c>
      <c r="AK25" s="5">
        <v>12.270833333333</v>
      </c>
      <c r="AL25" s="5">
        <v>1901.852</v>
      </c>
      <c r="AM25" s="5">
        <v>31.697533333333</v>
      </c>
      <c r="AN25" s="5">
        <v>1165.602</v>
      </c>
      <c r="AO25" s="5">
        <v>19.4267</v>
      </c>
      <c r="AP25" s="10">
        <v>0.61287734271647</v>
      </c>
      <c r="AQ25" s="4">
        <v>60.0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93</v>
      </c>
      <c r="C26" t="s">
        <v>94</v>
      </c>
      <c r="D26" s="3" t="s">
        <v>54</v>
      </c>
      <c r="E26" s="6">
        <v>0</v>
      </c>
      <c r="F26" s="6">
        <v>0</v>
      </c>
      <c r="G26" s="6">
        <v>0</v>
      </c>
      <c r="H26" s="6">
        <v>0</v>
      </c>
      <c r="I26" s="4">
        <v>10.0</v>
      </c>
      <c r="J26" s="5">
        <v>158.36</v>
      </c>
      <c r="K26" s="4">
        <v>12.72726</v>
      </c>
      <c r="L26" s="5">
        <v>201.548889</v>
      </c>
      <c r="M26" s="7">
        <v>0.21428492857064</v>
      </c>
      <c r="N26" s="6">
        <v>0</v>
      </c>
      <c r="O26" s="6">
        <v>0</v>
      </c>
      <c r="P26" s="4">
        <v>10.0</v>
      </c>
      <c r="Q26" s="4">
        <v>0.90909</v>
      </c>
      <c r="R26" s="6">
        <v>0</v>
      </c>
      <c r="S26" s="6">
        <v>0</v>
      </c>
      <c r="T26" s="4">
        <v>0.833333</v>
      </c>
      <c r="U26" s="12" t="s">
        <v>51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3">
        <v>0</v>
      </c>
      <c r="AC26" s="6">
        <v>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5">
        <v>148.0</v>
      </c>
      <c r="AK26" s="5">
        <v>14.8</v>
      </c>
      <c r="AL26" s="5">
        <v>420.56</v>
      </c>
      <c r="AM26" s="5">
        <v>42.056</v>
      </c>
      <c r="AN26" s="5">
        <v>272.56</v>
      </c>
      <c r="AO26" s="5">
        <v>27.256</v>
      </c>
      <c r="AP26" s="10">
        <v>0.64808826326802</v>
      </c>
      <c r="AQ26" s="4">
        <v>10.0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95</v>
      </c>
      <c r="C27" t="s">
        <v>96</v>
      </c>
      <c r="D27" s="3" t="s">
        <v>54</v>
      </c>
      <c r="E27" s="6">
        <v>0</v>
      </c>
      <c r="F27" s="6">
        <v>0</v>
      </c>
      <c r="G27" s="6">
        <v>0</v>
      </c>
      <c r="H27" s="6">
        <v>0</v>
      </c>
      <c r="I27" s="4">
        <v>20.0</v>
      </c>
      <c r="J27" s="5">
        <v>436.56</v>
      </c>
      <c r="K27" s="4">
        <v>21.636356</v>
      </c>
      <c r="L27" s="5">
        <v>472.278379</v>
      </c>
      <c r="M27" s="7">
        <v>0.075629925852579</v>
      </c>
      <c r="N27" s="6">
        <v>0</v>
      </c>
      <c r="O27" s="6">
        <v>0</v>
      </c>
      <c r="P27" s="4">
        <v>17.0</v>
      </c>
      <c r="Q27" s="4">
        <v>1.545454</v>
      </c>
      <c r="R27" s="6">
        <v>0</v>
      </c>
      <c r="S27" s="6">
        <v>0</v>
      </c>
      <c r="T27" s="4">
        <v>1.416666</v>
      </c>
      <c r="U27" s="12" t="s">
        <v>51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3">
        <v>0</v>
      </c>
      <c r="AC27" s="6">
        <v>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5">
        <v>346.8</v>
      </c>
      <c r="AK27" s="5">
        <v>20.4</v>
      </c>
      <c r="AL27" s="5">
        <v>747.663</v>
      </c>
      <c r="AM27" s="5">
        <v>43.980176470588</v>
      </c>
      <c r="AN27" s="5">
        <v>400.863</v>
      </c>
      <c r="AO27" s="5">
        <v>23.580176470588</v>
      </c>
      <c r="AP27" s="10">
        <v>0.53615465791406</v>
      </c>
      <c r="AQ27" s="4">
        <v>17.0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97</v>
      </c>
      <c r="C28" t="s">
        <v>98</v>
      </c>
      <c r="D28" s="3" t="s">
        <v>54</v>
      </c>
      <c r="E28" s="6">
        <v>0</v>
      </c>
      <c r="F28" s="6">
        <v>0</v>
      </c>
      <c r="G28" s="6">
        <v>0</v>
      </c>
      <c r="H28" s="6">
        <v>0</v>
      </c>
      <c r="I28" s="4">
        <v>10.0</v>
      </c>
      <c r="J28" s="5">
        <v>286.76</v>
      </c>
      <c r="K28" s="4">
        <v>12.72726</v>
      </c>
      <c r="L28" s="5">
        <v>364.966908</v>
      </c>
      <c r="M28" s="7">
        <v>0.21428492857064</v>
      </c>
      <c r="N28" s="6">
        <v>0</v>
      </c>
      <c r="O28" s="6">
        <v>0</v>
      </c>
      <c r="P28" s="4">
        <v>10.0</v>
      </c>
      <c r="Q28" s="4">
        <v>0.90909</v>
      </c>
      <c r="R28" s="6">
        <v>0</v>
      </c>
      <c r="S28" s="6">
        <v>0</v>
      </c>
      <c r="T28" s="4">
        <v>0.833333</v>
      </c>
      <c r="U28" s="12" t="s">
        <v>51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3">
        <v>0</v>
      </c>
      <c r="AC28" s="6">
        <v>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5">
        <v>257.95</v>
      </c>
      <c r="AK28" s="5">
        <v>25.795</v>
      </c>
      <c r="AL28" s="5">
        <v>420.56</v>
      </c>
      <c r="AM28" s="5">
        <v>42.056</v>
      </c>
      <c r="AN28" s="5">
        <v>162.61</v>
      </c>
      <c r="AO28" s="5">
        <v>16.261</v>
      </c>
      <c r="AP28" s="10">
        <v>0.38665113182423</v>
      </c>
      <c r="AQ28" s="4">
        <v>10.0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99</v>
      </c>
      <c r="C29" t="s">
        <v>100</v>
      </c>
      <c r="D29" s="3" t="s">
        <v>101</v>
      </c>
      <c r="E29" s="4">
        <v>50.0</v>
      </c>
      <c r="F29" s="5">
        <v>3424.0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17">
        <v>0</v>
      </c>
      <c r="N29" s="4">
        <v>24.0</v>
      </c>
      <c r="O29" s="4">
        <v>2.181818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12" t="s">
        <v>51</v>
      </c>
      <c r="V29" s="5">
        <v>1536.0</v>
      </c>
      <c r="W29" s="5">
        <v>64.0</v>
      </c>
      <c r="X29" s="5">
        <v>2421.031</v>
      </c>
      <c r="Y29" s="5">
        <v>100.87629166667</v>
      </c>
      <c r="Z29" s="5">
        <v>885.031</v>
      </c>
      <c r="AA29" s="5">
        <v>36.876291666667</v>
      </c>
      <c r="AB29" s="10">
        <v>0.36555954880379</v>
      </c>
      <c r="AC29" s="4">
        <v>24.0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101</v>
      </c>
      <c r="E30" s="4">
        <v>50.0</v>
      </c>
      <c r="F30" s="5">
        <v>3424.0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17">
        <v>0</v>
      </c>
      <c r="N30" s="4">
        <v>21.0</v>
      </c>
      <c r="O30" s="4">
        <v>1.90909</v>
      </c>
      <c r="P30" s="6">
        <v>0</v>
      </c>
      <c r="Q30" s="6">
        <v>0</v>
      </c>
      <c r="R30" s="4">
        <v>19.0</v>
      </c>
      <c r="S30" s="5">
        <v>1301.12</v>
      </c>
      <c r="T30" s="6">
        <v>0</v>
      </c>
      <c r="U30" s="12" t="s">
        <v>51</v>
      </c>
      <c r="V30" s="5">
        <v>1344.0</v>
      </c>
      <c r="W30" s="5">
        <v>64.0</v>
      </c>
      <c r="X30" s="5">
        <v>1874.107</v>
      </c>
      <c r="Y30" s="5">
        <v>89.24319047619</v>
      </c>
      <c r="Z30" s="5">
        <v>530.107</v>
      </c>
      <c r="AA30" s="5">
        <v>25.24319047619</v>
      </c>
      <c r="AB30" s="10">
        <v>0.28285844938416</v>
      </c>
      <c r="AC30" s="4">
        <v>21.0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101</v>
      </c>
      <c r="E31" s="4">
        <v>50.0</v>
      </c>
      <c r="F31" s="5">
        <v>3424.0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17">
        <v>0</v>
      </c>
      <c r="N31" s="4">
        <v>15.0</v>
      </c>
      <c r="O31" s="4">
        <v>1.363636</v>
      </c>
      <c r="P31" s="6">
        <v>0</v>
      </c>
      <c r="Q31" s="6">
        <v>0</v>
      </c>
      <c r="R31" s="4">
        <v>7.0</v>
      </c>
      <c r="S31" s="5">
        <v>479.36</v>
      </c>
      <c r="T31" s="6">
        <v>0</v>
      </c>
      <c r="U31" s="12" t="s">
        <v>51</v>
      </c>
      <c r="V31" s="5">
        <v>960.0</v>
      </c>
      <c r="W31" s="5">
        <v>64.0</v>
      </c>
      <c r="X31" s="5">
        <v>1683.175</v>
      </c>
      <c r="Y31" s="5">
        <v>112.21166666667</v>
      </c>
      <c r="Z31" s="5">
        <v>723.175</v>
      </c>
      <c r="AA31" s="5">
        <v>48.211666666667</v>
      </c>
      <c r="AB31" s="10">
        <v>0.42964932345122</v>
      </c>
      <c r="AC31" s="4">
        <v>15.0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101</v>
      </c>
      <c r="E32" s="4">
        <v>50.0</v>
      </c>
      <c r="F32" s="5">
        <v>3424.0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17">
        <v>0</v>
      </c>
      <c r="N32" s="4">
        <v>19.0</v>
      </c>
      <c r="O32" s="4">
        <v>1.727272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12" t="s">
        <v>51</v>
      </c>
      <c r="V32" s="5">
        <v>1216.0</v>
      </c>
      <c r="W32" s="5">
        <v>64.0</v>
      </c>
      <c r="X32" s="5">
        <v>1953.276</v>
      </c>
      <c r="Y32" s="5">
        <v>102.804</v>
      </c>
      <c r="Z32" s="5">
        <v>737.276</v>
      </c>
      <c r="AA32" s="5">
        <v>38.804</v>
      </c>
      <c r="AB32" s="10">
        <v>0.37745613011167</v>
      </c>
      <c r="AC32" s="4">
        <v>19.0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48</v>
      </c>
      <c r="E33" s="4">
        <v>20.0</v>
      </c>
      <c r="F33" s="5">
        <v>265.36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17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12" t="s">
        <v>51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3">
        <v>0</v>
      </c>
      <c r="AC33" s="6">
        <v>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48</v>
      </c>
      <c r="E34" s="4">
        <v>10.0</v>
      </c>
      <c r="F34" s="5">
        <v>286.76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17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12" t="s">
        <v>51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1" t="s">
        <v>112</v>
      </c>
      <c r="B35" s="1"/>
      <c r="C35" s="1"/>
      <c r="D35" s="1"/>
      <c r="E35" s="1"/>
      <c r="F35" s="18">
        <f>SUM(F3:F35)</f>
        <v>101231.52</v>
      </c>
      <c r="G35" s="1"/>
      <c r="H35" s="18">
        <f>SUM(H3:H35)</f>
        <v>12519</v>
      </c>
      <c r="I35" s="1"/>
      <c r="J35" s="18">
        <f>SUM(J3:J35)</f>
        <v>75015.56</v>
      </c>
      <c r="K35" s="1"/>
      <c r="L35" s="18">
        <f>SUM(L3:L35)</f>
        <v>719355.669066</v>
      </c>
      <c r="M35" s="1"/>
      <c r="N35" s="1"/>
      <c r="O35" s="1"/>
      <c r="P35" s="1"/>
      <c r="Q35" s="1"/>
      <c r="R35" s="1"/>
      <c r="S35" s="18">
        <f>SUM(S3:S35)</f>
        <v>248992.82</v>
      </c>
      <c r="T35" s="1"/>
      <c r="U35" s="1"/>
      <c r="V35" s="18">
        <f>SUM(V3:V35)</f>
        <v>544759.642</v>
      </c>
      <c r="W35" s="1"/>
      <c r="X35" s="18">
        <f>SUM(X3:X35)</f>
        <v>872290.443</v>
      </c>
      <c r="Y35" s="1"/>
      <c r="Z35" s="18">
        <f>SUM(Z3:Z35)</f>
        <v>327530.801</v>
      </c>
      <c r="AA35" s="1"/>
      <c r="AB35" s="1"/>
      <c r="AC35" s="1"/>
      <c r="AD35" s="1"/>
      <c r="AE35" s="1"/>
      <c r="AF35" s="18">
        <f>SUM(AF3:AF35)</f>
        <v>0</v>
      </c>
      <c r="AG35" s="1"/>
      <c r="AH35" s="1"/>
      <c r="AI35" s="18">
        <f>SUM(AI3:AI35)</f>
        <v>0</v>
      </c>
      <c r="AJ35" s="18">
        <f>SUM(AJ3:V35)</f>
        <v>4098699.3425806</v>
      </c>
      <c r="AK35" s="1"/>
      <c r="AL35" s="18">
        <f>SUM(AL3:AL35)</f>
        <v>960033.628</v>
      </c>
      <c r="AM35" s="1"/>
      <c r="AN35" s="18">
        <f>SUM(AN3:AN35)</f>
        <v>362778.324</v>
      </c>
      <c r="AO35" s="1"/>
      <c r="AP35" s="1"/>
      <c r="AQ35" s="1"/>
      <c r="AR35" s="1"/>
      <c r="AS35" s="1"/>
      <c r="AT35" s="18">
        <f>SUM(AT3:AT35)</f>
        <v>0</v>
      </c>
      <c r="AU35" s="1"/>
      <c r="AV35" s="1"/>
      <c r="AW35" s="18">
        <f>SUM(AW3:AW35)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35:D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"/>
  <sheetViews>
    <sheetView tabSelected="0" workbookViewId="0" showGridLines="true" showRowColHeaders="1">
      <pane ySplit="1" topLeftCell="A2" activePane="bottomLeft" state="frozen"/>
      <selection pane="bottomLeft" activeCell="I2" sqref="I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</v>
      </c>
      <c r="G1" s="1" t="s">
        <v>2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122</v>
      </c>
      <c r="C2" s="3" t="s">
        <v>123</v>
      </c>
      <c r="D2" s="19">
        <v>44628.0</v>
      </c>
      <c r="E2" t="s">
        <v>124</v>
      </c>
      <c r="F2" s="3" t="s">
        <v>79</v>
      </c>
      <c r="G2" t="s">
        <v>80</v>
      </c>
      <c r="H2" s="3" t="s">
        <v>125</v>
      </c>
      <c r="I2" s="4">
        <v>1.0</v>
      </c>
      <c r="J2" t="s">
        <v>126</v>
      </c>
      <c r="K2" t="s">
        <v>127</v>
      </c>
      <c r="L2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2023-12-29T13:56:29+07:00</dcterms:created>
  <dcterms:modified xsi:type="dcterms:W3CDTF">2023-12-29T13:56:29+07:00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