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<sst xmlns="http://schemas.openxmlformats.org/spreadsheetml/2006/main" uniqueCount="123">
  <si>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</si>
  <si>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</si>
  <si>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</si>
  <si>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</si>
  <si>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</si>
  <si>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</si>
  <si>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</si>
  <si>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</si>
  <si>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</si>
  <si>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</si>
  <si>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</si>
  <si>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</si>
  <si>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</si>
  <si>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</si>
  <si>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</si>
  <si>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</si>
  <si>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</si>
  <si>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</si>
  <si>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</si>
  <si>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</si>
  <si>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</si>
  <si>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</si>
  <si>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</si>
  <si>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</si>
  <si>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</si>
  <si>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</si>
  <si>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</si>
  <si>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</si>
  <si>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</si>
  <si>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</si>
  <si>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</si>
  <si>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</si>
  <si>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</si>
  <si>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</si>
  <si>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</si>
  <si>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</si>
  <si>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</si>
  <si>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</si>
  <si>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</si>
  <si>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</si>
  <si>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</si>
  <si>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</si>
  <si>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</si>
  <si>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05-001-840</t>
  </si>
  <si>
    <t>สว่านเจาะทำลาย EUROX DM 90</t>
  </si>
  <si>
    <t>D23</t>
  </si>
  <si>
    <t>DEAD</t>
  </si>
  <si>
    <t>05-001-830</t>
  </si>
  <si>
    <t>สว่านเจาะทำลาย EUROX DM 45</t>
  </si>
  <si>
    <t>A</t>
  </si>
  <si>
    <t>05-001-650</t>
  </si>
  <si>
    <t>สว่านโรตารี่ SDS MAX EX 40D 40mm.</t>
  </si>
  <si>
    <t>05-240-100</t>
  </si>
  <si>
    <t>EX40D ชุดหัวจับดอก 40mm.</t>
  </si>
  <si>
    <t>M</t>
  </si>
  <si>
    <t>05-350-001</t>
  </si>
  <si>
    <t>DM90 NO.01-09 ชุดล็อคดอก</t>
  </si>
  <si>
    <t>05-240-089</t>
  </si>
  <si>
    <t>EX40D NO.89 Rotor</t>
  </si>
  <si>
    <t>D</t>
  </si>
  <si>
    <t>05-340-110</t>
  </si>
  <si>
    <t>DM45 No.01-15 ชุดหัวจับดอก</t>
  </si>
  <si>
    <t>05-230-110</t>
  </si>
  <si>
    <t>ชุดหัวจับดอก 2-28</t>
  </si>
  <si>
    <t>05-230-014</t>
  </si>
  <si>
    <t>2-28 NO.14 Telefiex</t>
  </si>
  <si>
    <t>05-001-625</t>
  </si>
  <si>
    <t>สว่านกระแทกโรตารี่ EUROX 2-28 SDS PLUS</t>
  </si>
  <si>
    <t>05-001-665</t>
  </si>
  <si>
    <t>สว่านโรตารี่ 2-26 DE</t>
  </si>
  <si>
    <t>05-330-070</t>
  </si>
  <si>
    <t>4-32 DE NO.70 Gear 27 Teeth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</si>
  <si>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</si>
  <si>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</si>
  <si>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</si>
  <si>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</si>
  <si>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</si>
  <si>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</si>
  <si>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</si>
  <si>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</si>
  <si>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</si>
  <si>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</si>
  <si>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</si>
  <si>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</si>
  <si>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</si>
  <si>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</si>
  <si>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</si>
  <si>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</si>
  <si>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</si>
  <si>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</si>
  <si>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</si>
  <si>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</si>
  <si>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</si>
  <si>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</si>
  <si>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</si>
  <si>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</si>
  <si>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</si>
  <si>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</si>
  <si>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</si>
  <si>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PN-66024040</t>
  </si>
  <si>
    <t>M-00294 - ไทยเพิ่มพูลโฮมช็อป (สุวรรณภูมิ)</t>
  </si>
  <si>
    <t>WP5</t>
  </si>
  <si>
    <t>PCS</t>
  </si>
  <si>
    <t>สินค้าชำรุดสภาพดี AX</t>
  </si>
  <si>
    <t>ระบบสกัดไม่ทำงาน</t>
  </si>
  <si>
    <t>RN-66082064</t>
  </si>
  <si>
    <t>M-00042 - ดูโฮม - สำนักงานใหญ่(สาขาที่0)</t>
  </si>
  <si>
    <t>ตัวปรับโหมดเสียปรับไม่ได้</t>
  </si>
  <si>
    <t>สวิทซ์เสียเปิดไม่ติด</t>
  </si>
  <si>
    <t>RN-65102096</t>
  </si>
  <si>
    <t>M-00216 - ดูโฮม - บางบัวทอง (สาขาที่7)</t>
  </si>
  <si>
    <t>ตัว</t>
  </si>
  <si>
    <t>เครื่องไม่ติด</t>
  </si>
  <si>
    <t>RN-66082057</t>
  </si>
  <si>
    <t>M-00047 - โฮมฮับ-ขอนแก่น (สาขา 00003)</t>
  </si>
  <si>
    <t>ทุ่นซ็อตไหม้</t>
  </si>
  <si>
    <t>ฝ่ายขายโมเดิร์นเทรด 2</t>
  </si>
  <si>
    <t>RN-65042083</t>
  </si>
  <si>
    <t>MT-MH-003 - เมกา โฮม เซ็นเตอร์ จำกัด (สาขาหนองคาย)</t>
  </si>
  <si>
    <t>น้ำมันแห้ง</t>
  </si>
  <si>
    <t>RN-66062094</t>
  </si>
  <si>
    <t>M-00043 - ดูโฮม-โคราช (สาขาที่2)</t>
  </si>
  <si>
    <t>น้ำมันซึมออกตรงหัวแต่ใช้งานได้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</si>
</sst>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3" sqref="AW2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600.0</v>
      </c>
      <c r="F3" s="5">
        <v>1701073.2</v>
      </c>
      <c r="G3" s="4">
        <v>300.0</v>
      </c>
      <c r="H3" s="5">
        <v>925359.0</v>
      </c>
      <c r="I3" s="6">
        <v>0</v>
      </c>
      <c r="J3" s="6">
        <v>0</v>
      </c>
      <c r="K3" s="4">
        <v>126.0</v>
      </c>
      <c r="L3" s="5">
        <v>341177.76</v>
      </c>
      <c r="M3" s="7">
        <v>1.0</v>
      </c>
      <c r="N3" s="4">
        <v>450.0</v>
      </c>
      <c r="O3" s="4">
        <v>40.090909</v>
      </c>
      <c r="P3" s="4">
        <v>99.0</v>
      </c>
      <c r="Q3" s="4">
        <v>9.0</v>
      </c>
      <c r="R3" s="6">
        <v>0</v>
      </c>
      <c r="S3" s="6">
        <v>0</v>
      </c>
      <c r="T3" s="4">
        <v>8.25</v>
      </c>
      <c r="U3" s="8" t="s">
        <v>46</v>
      </c>
      <c r="V3" s="5">
        <v>1329151.361</v>
      </c>
      <c r="W3" s="5">
        <v>2953.6696911111</v>
      </c>
      <c r="X3" s="5">
        <v>2792626.6</v>
      </c>
      <c r="Y3" s="5">
        <v>6205.8368888889</v>
      </c>
      <c r="Z3" s="5">
        <v>1463475.239</v>
      </c>
      <c r="AA3" s="5">
        <v>3252.1671977778</v>
      </c>
      <c r="AB3" s="9">
        <v>0.52404973833595</v>
      </c>
      <c r="AC3" s="4">
        <v>450.0</v>
      </c>
      <c r="AD3" s="4">
        <v>1.0</v>
      </c>
      <c r="AE3" s="5">
        <v>4.0</v>
      </c>
      <c r="AF3" s="6">
        <v>2707.76</v>
      </c>
      <c r="AG3" s="10">
        <v>0.0088888888888889</v>
      </c>
      <c r="AH3" s="6">
        <v>0</v>
      </c>
      <c r="AI3" s="6">
        <v>0</v>
      </c>
      <c r="AJ3" s="5">
        <v>269079.209</v>
      </c>
      <c r="AK3" s="5">
        <v>2717.9718080808</v>
      </c>
      <c r="AL3" s="5">
        <v>614592.933</v>
      </c>
      <c r="AM3" s="5">
        <v>6208.0094242424</v>
      </c>
      <c r="AN3" s="5">
        <v>345513.724</v>
      </c>
      <c r="AO3" s="5">
        <v>3490.0376161616</v>
      </c>
      <c r="AP3" s="9">
        <v>0.56218304091694</v>
      </c>
      <c r="AQ3" s="4">
        <v>99.0</v>
      </c>
      <c r="AR3" s="4">
        <v>1.0</v>
      </c>
      <c r="AS3" s="4">
        <v>1.0</v>
      </c>
      <c r="AT3" s="5">
        <v>2707.76</v>
      </c>
      <c r="AU3" s="10">
        <v>0.01010101010101</v>
      </c>
      <c r="AV3" s="6">
        <v>0</v>
      </c>
      <c r="AW3" s="6">
        <v>0</v>
      </c>
    </row>
    <row r="4" spans="1:49">
      <c r="A4" s="3">
        <v>2</v>
      </c>
      <c r="B4" s="3" t="s">
        <v>47</v>
      </c>
      <c r="C4" t="s">
        <v>48</v>
      </c>
      <c r="D4" s="3" t="s">
        <v>49</v>
      </c>
      <c r="E4" s="6">
        <v>0</v>
      </c>
      <c r="F4" s="6">
        <v>0</v>
      </c>
      <c r="G4" s="4">
        <v>500.0</v>
      </c>
      <c r="H4" s="5">
        <v>914905.0</v>
      </c>
      <c r="I4" s="4">
        <v>500.0</v>
      </c>
      <c r="J4" s="5">
        <v>767769.5</v>
      </c>
      <c r="K4" s="4">
        <v>414.909082</v>
      </c>
      <c r="L4" s="5">
        <v>637109.076865</v>
      </c>
      <c r="M4" s="11">
        <v>-0.20508328617401</v>
      </c>
      <c r="N4" s="4">
        <v>273.0</v>
      </c>
      <c r="O4" s="4">
        <v>24.818181</v>
      </c>
      <c r="P4" s="4">
        <v>326.0</v>
      </c>
      <c r="Q4" s="4">
        <v>29.636363</v>
      </c>
      <c r="R4" s="4">
        <v>401.0</v>
      </c>
      <c r="S4" s="5">
        <v>615751.139</v>
      </c>
      <c r="T4" s="4">
        <v>27.166666</v>
      </c>
      <c r="U4" s="12">
        <v>14.760736558546</v>
      </c>
      <c r="V4" s="5">
        <v>499092.97</v>
      </c>
      <c r="W4" s="5">
        <v>1828.1793772894</v>
      </c>
      <c r="X4" s="5">
        <v>933065.615</v>
      </c>
      <c r="Y4" s="5">
        <v>3417.8227655678</v>
      </c>
      <c r="Z4" s="5">
        <v>433972.645</v>
      </c>
      <c r="AA4" s="5">
        <v>1589.6433882784</v>
      </c>
      <c r="AB4" s="9">
        <v>0.46510410203038</v>
      </c>
      <c r="AC4" s="4">
        <v>273.0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566865.904</v>
      </c>
      <c r="AK4" s="5">
        <v>1738.8524662577</v>
      </c>
      <c r="AL4" s="5">
        <v>1114141.421</v>
      </c>
      <c r="AM4" s="5">
        <v>3417.6117208589</v>
      </c>
      <c r="AN4" s="5">
        <v>547275.517</v>
      </c>
      <c r="AO4" s="5">
        <v>1678.7592546012</v>
      </c>
      <c r="AP4" s="9">
        <v>0.49120830325902</v>
      </c>
      <c r="AQ4" s="4">
        <v>326.0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50</v>
      </c>
      <c r="C5" t="s">
        <v>51</v>
      </c>
      <c r="D5" s="3" t="s">
        <v>49</v>
      </c>
      <c r="E5" s="6">
        <v>0</v>
      </c>
      <c r="F5" s="6">
        <v>0</v>
      </c>
      <c r="G5" s="4">
        <v>300.0</v>
      </c>
      <c r="H5" s="5">
        <v>598693.5</v>
      </c>
      <c r="I5" s="6">
        <v>0</v>
      </c>
      <c r="J5" s="6">
        <v>0</v>
      </c>
      <c r="K5" s="4">
        <v>244.36363</v>
      </c>
      <c r="L5" s="5">
        <v>487663.056391</v>
      </c>
      <c r="M5" s="7">
        <v>1.0</v>
      </c>
      <c r="N5" s="4">
        <v>165.0</v>
      </c>
      <c r="O5" s="4">
        <v>14.727272</v>
      </c>
      <c r="P5" s="4">
        <v>192.0</v>
      </c>
      <c r="Q5" s="4">
        <v>17.454545</v>
      </c>
      <c r="R5" s="4">
        <v>85.0</v>
      </c>
      <c r="S5" s="5">
        <v>169629.825</v>
      </c>
      <c r="T5" s="4">
        <v>16.0</v>
      </c>
      <c r="U5" s="13">
        <v>5.3125</v>
      </c>
      <c r="V5" s="5">
        <v>285564.899</v>
      </c>
      <c r="W5" s="5">
        <v>1730.6963575758</v>
      </c>
      <c r="X5" s="5">
        <v>622110.395</v>
      </c>
      <c r="Y5" s="5">
        <v>3770.366030303</v>
      </c>
      <c r="Z5" s="5">
        <v>336545.496</v>
      </c>
      <c r="AA5" s="5">
        <v>2039.6696727273</v>
      </c>
      <c r="AB5" s="9">
        <v>0.54097391508785</v>
      </c>
      <c r="AC5" s="4">
        <v>165.0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383019.519</v>
      </c>
      <c r="AK5" s="5">
        <v>1994.893328125</v>
      </c>
      <c r="AL5" s="5">
        <v>715794.718</v>
      </c>
      <c r="AM5" s="5">
        <v>3728.0974895833</v>
      </c>
      <c r="AN5" s="5">
        <v>332775.199</v>
      </c>
      <c r="AO5" s="5">
        <v>1733.2041614583</v>
      </c>
      <c r="AP5" s="9">
        <v>0.46490312184729</v>
      </c>
      <c r="AQ5" s="4">
        <v>192.0</v>
      </c>
      <c r="AR5" s="4">
        <v>1.0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6">
        <v>0</v>
      </c>
      <c r="F6" s="6">
        <v>0</v>
      </c>
      <c r="G6" s="4">
        <v>20.0</v>
      </c>
      <c r="H6" s="5">
        <v>12547.2</v>
      </c>
      <c r="I6" s="6">
        <v>0</v>
      </c>
      <c r="J6" s="6">
        <v>0</v>
      </c>
      <c r="K6" s="6">
        <v>0</v>
      </c>
      <c r="L6" s="6">
        <v>0</v>
      </c>
      <c r="M6" s="14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8" t="s">
        <v>46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3">
        <v>0</v>
      </c>
      <c r="AC6" s="6">
        <v>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55</v>
      </c>
      <c r="C7" t="s">
        <v>56</v>
      </c>
      <c r="D7" s="3" t="s">
        <v>54</v>
      </c>
      <c r="E7" s="6">
        <v>0</v>
      </c>
      <c r="F7" s="6">
        <v>0</v>
      </c>
      <c r="G7" s="4">
        <v>20.0</v>
      </c>
      <c r="H7" s="5">
        <v>6273.82</v>
      </c>
      <c r="I7" s="6">
        <v>0</v>
      </c>
      <c r="J7" s="6">
        <v>0</v>
      </c>
      <c r="K7" s="6">
        <v>0</v>
      </c>
      <c r="L7" s="6">
        <v>0</v>
      </c>
      <c r="M7" s="14">
        <v>0</v>
      </c>
      <c r="N7" s="4">
        <v>2.0</v>
      </c>
      <c r="O7" s="4">
        <v>0.181818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8" t="s">
        <v>46</v>
      </c>
      <c r="V7" s="5">
        <v>627.38</v>
      </c>
      <c r="W7" s="5">
        <v>313.69</v>
      </c>
      <c r="X7" s="5">
        <v>1238.318</v>
      </c>
      <c r="Y7" s="5">
        <v>619.159</v>
      </c>
      <c r="Z7" s="5">
        <v>610.938</v>
      </c>
      <c r="AA7" s="5">
        <v>305.469</v>
      </c>
      <c r="AB7" s="9">
        <v>0.4933611560197</v>
      </c>
      <c r="AC7" s="4">
        <v>2.0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57</v>
      </c>
      <c r="C8" t="s">
        <v>58</v>
      </c>
      <c r="D8" s="3" t="s">
        <v>59</v>
      </c>
      <c r="E8" s="6">
        <v>0</v>
      </c>
      <c r="F8" s="6">
        <v>0</v>
      </c>
      <c r="G8" s="4">
        <v>20.0</v>
      </c>
      <c r="H8" s="5">
        <v>4879.4</v>
      </c>
      <c r="I8" s="6">
        <v>0</v>
      </c>
      <c r="J8" s="6">
        <v>0</v>
      </c>
      <c r="K8" s="6">
        <v>0</v>
      </c>
      <c r="L8" s="6">
        <v>0</v>
      </c>
      <c r="M8" s="14">
        <v>0</v>
      </c>
      <c r="N8" s="4">
        <v>1.0</v>
      </c>
      <c r="O8" s="4">
        <v>0.090909</v>
      </c>
      <c r="P8" s="6">
        <v>0</v>
      </c>
      <c r="Q8" s="6">
        <v>0</v>
      </c>
      <c r="R8" s="4">
        <v>15.0</v>
      </c>
      <c r="S8" s="5">
        <v>3659.55</v>
      </c>
      <c r="T8" s="6">
        <v>0</v>
      </c>
      <c r="U8" s="8" t="s">
        <v>46</v>
      </c>
      <c r="V8" s="5">
        <v>225.0</v>
      </c>
      <c r="W8" s="5">
        <v>225.0</v>
      </c>
      <c r="X8" s="5">
        <v>607.477</v>
      </c>
      <c r="Y8" s="5">
        <v>607.477</v>
      </c>
      <c r="Z8" s="5">
        <v>382.477</v>
      </c>
      <c r="AA8" s="5">
        <v>382.477</v>
      </c>
      <c r="AB8" s="9">
        <v>0.62961560684602</v>
      </c>
      <c r="AC8" s="4">
        <v>1.0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60</v>
      </c>
      <c r="C9" t="s">
        <v>61</v>
      </c>
      <c r="D9" s="3" t="s">
        <v>54</v>
      </c>
      <c r="E9" s="6">
        <v>0</v>
      </c>
      <c r="F9" s="6">
        <v>0</v>
      </c>
      <c r="G9" s="4">
        <v>10.0</v>
      </c>
      <c r="H9" s="5">
        <v>4043.0</v>
      </c>
      <c r="I9" s="6">
        <v>0</v>
      </c>
      <c r="J9" s="6">
        <v>0</v>
      </c>
      <c r="K9" s="6">
        <v>0</v>
      </c>
      <c r="L9" s="6">
        <v>0</v>
      </c>
      <c r="M9" s="14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8" t="s">
        <v>46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3">
        <v>0</v>
      </c>
      <c r="AC9" s="6">
        <v>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62</v>
      </c>
      <c r="C10" t="s">
        <v>63</v>
      </c>
      <c r="D10" s="3" t="s">
        <v>59</v>
      </c>
      <c r="E10" s="6">
        <v>0</v>
      </c>
      <c r="F10" s="6">
        <v>0</v>
      </c>
      <c r="G10" s="4">
        <v>20.0</v>
      </c>
      <c r="H10" s="5">
        <v>1603.2</v>
      </c>
      <c r="I10" s="6">
        <v>0</v>
      </c>
      <c r="J10" s="6">
        <v>0</v>
      </c>
      <c r="K10" s="4">
        <v>1.272726</v>
      </c>
      <c r="L10" s="5">
        <v>102.021716</v>
      </c>
      <c r="M10" s="7">
        <v>1.0</v>
      </c>
      <c r="N10" s="4">
        <v>7.0</v>
      </c>
      <c r="O10" s="4">
        <v>0.636363</v>
      </c>
      <c r="P10" s="4">
        <v>1.0</v>
      </c>
      <c r="Q10" s="4">
        <v>0.090909</v>
      </c>
      <c r="R10" s="6">
        <v>0</v>
      </c>
      <c r="S10" s="6">
        <v>0</v>
      </c>
      <c r="T10" s="4">
        <v>0.083333</v>
      </c>
      <c r="U10" s="8" t="s">
        <v>46</v>
      </c>
      <c r="V10" s="5">
        <v>432.06</v>
      </c>
      <c r="W10" s="5">
        <v>61.722857142857</v>
      </c>
      <c r="X10" s="5">
        <v>1401.869</v>
      </c>
      <c r="Y10" s="5">
        <v>200.267</v>
      </c>
      <c r="Z10" s="5">
        <v>969.809</v>
      </c>
      <c r="AA10" s="5">
        <v>138.54414285714</v>
      </c>
      <c r="AB10" s="9">
        <v>0.69179716507035</v>
      </c>
      <c r="AC10" s="4">
        <v>7.0</v>
      </c>
      <c r="AD10" s="6">
        <v>0</v>
      </c>
      <c r="AE10" s="4">
        <v>1.0</v>
      </c>
      <c r="AF10" s="6">
        <v>0</v>
      </c>
      <c r="AG10" s="10">
        <v>0.14285714285714</v>
      </c>
      <c r="AH10" s="6">
        <v>0</v>
      </c>
      <c r="AI10" s="6">
        <v>0</v>
      </c>
      <c r="AJ10" s="5">
        <v>80.16</v>
      </c>
      <c r="AK10" s="5">
        <v>80.16</v>
      </c>
      <c r="AL10" s="6">
        <v>0</v>
      </c>
      <c r="AM10" s="5">
        <v>0.0</v>
      </c>
      <c r="AN10" s="5">
        <v>-80.16</v>
      </c>
      <c r="AO10" s="5">
        <v>-80.16</v>
      </c>
      <c r="AP10" s="15">
        <v>0</v>
      </c>
      <c r="AQ10" s="4">
        <v>1.0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64</v>
      </c>
      <c r="C11" t="s">
        <v>65</v>
      </c>
      <c r="D11" s="3" t="s">
        <v>59</v>
      </c>
      <c r="E11" s="6">
        <v>0</v>
      </c>
      <c r="F11" s="6">
        <v>0</v>
      </c>
      <c r="G11" s="4">
        <v>20.0</v>
      </c>
      <c r="H11" s="5">
        <v>1045.6</v>
      </c>
      <c r="I11" s="6">
        <v>0</v>
      </c>
      <c r="J11" s="6">
        <v>0</v>
      </c>
      <c r="K11" s="4">
        <v>1.272726</v>
      </c>
      <c r="L11" s="5">
        <v>66.538115</v>
      </c>
      <c r="M11" s="7">
        <v>1.0</v>
      </c>
      <c r="N11" s="6">
        <v>0</v>
      </c>
      <c r="O11" s="6">
        <v>0</v>
      </c>
      <c r="P11" s="4">
        <v>1.0</v>
      </c>
      <c r="Q11" s="4">
        <v>0.090909</v>
      </c>
      <c r="R11" s="6">
        <v>0</v>
      </c>
      <c r="S11" s="6">
        <v>0</v>
      </c>
      <c r="T11" s="4">
        <v>0.083333</v>
      </c>
      <c r="U11" s="8" t="s">
        <v>46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3">
        <v>0</v>
      </c>
      <c r="AC11" s="6">
        <v>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52.28</v>
      </c>
      <c r="AK11" s="5">
        <v>52.28</v>
      </c>
      <c r="AL11" s="5">
        <v>149.533</v>
      </c>
      <c r="AM11" s="5">
        <v>149.533</v>
      </c>
      <c r="AN11" s="5">
        <v>97.253</v>
      </c>
      <c r="AO11" s="5">
        <v>97.253</v>
      </c>
      <c r="AP11" s="9">
        <v>0.65037817739228</v>
      </c>
      <c r="AQ11" s="4">
        <v>1.0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66</v>
      </c>
      <c r="C12" t="s">
        <v>67</v>
      </c>
      <c r="D12" s="3" t="s">
        <v>49</v>
      </c>
      <c r="E12" s="4">
        <v>2500.0</v>
      </c>
      <c r="F12" s="5">
        <v>2830025.0</v>
      </c>
      <c r="G12" s="6">
        <v>0</v>
      </c>
      <c r="H12" s="6">
        <v>0</v>
      </c>
      <c r="I12" s="4">
        <v>1000.0</v>
      </c>
      <c r="J12" s="5">
        <v>1072307.5</v>
      </c>
      <c r="K12" s="4">
        <v>1013.090904</v>
      </c>
      <c r="L12" s="5">
        <v>1073886.489149</v>
      </c>
      <c r="M12" s="7">
        <v>0.012921746655027</v>
      </c>
      <c r="N12" s="4">
        <v>840.0</v>
      </c>
      <c r="O12" s="4">
        <v>77.181818</v>
      </c>
      <c r="P12" s="4">
        <v>796.0</v>
      </c>
      <c r="Q12" s="4">
        <v>72.363636</v>
      </c>
      <c r="R12" s="4">
        <v>262.0</v>
      </c>
      <c r="S12" s="5">
        <v>277722.62</v>
      </c>
      <c r="T12" s="4">
        <v>66.5</v>
      </c>
      <c r="U12" s="16">
        <v>3.9398496240602</v>
      </c>
      <c r="V12" s="5">
        <v>955048.138</v>
      </c>
      <c r="W12" s="5">
        <v>1136.9620690476</v>
      </c>
      <c r="X12" s="5">
        <v>1842420.486</v>
      </c>
      <c r="Y12" s="5">
        <v>2193.3577214286</v>
      </c>
      <c r="Z12" s="5">
        <v>887372.348</v>
      </c>
      <c r="AA12" s="5">
        <v>1056.395652381</v>
      </c>
      <c r="AB12" s="9">
        <v>0.48163399980779</v>
      </c>
      <c r="AC12" s="4">
        <v>840.0</v>
      </c>
      <c r="AD12" s="6">
        <v>0</v>
      </c>
      <c r="AE12" s="5">
        <v>1.0</v>
      </c>
      <c r="AF12" s="6">
        <v>1060.01</v>
      </c>
      <c r="AG12" s="10">
        <v>0.0011904761904762</v>
      </c>
      <c r="AH12" s="6">
        <v>0</v>
      </c>
      <c r="AI12" s="6">
        <v>0</v>
      </c>
      <c r="AJ12" s="5">
        <v>869345.125</v>
      </c>
      <c r="AK12" s="5">
        <v>1092.1421168342</v>
      </c>
      <c r="AL12" s="5">
        <v>1714496.371</v>
      </c>
      <c r="AM12" s="5">
        <v>2153.8899133166</v>
      </c>
      <c r="AN12" s="5">
        <v>845151.246</v>
      </c>
      <c r="AO12" s="5">
        <v>1061.7477964824</v>
      </c>
      <c r="AP12" s="9">
        <v>0.49294431898217</v>
      </c>
      <c r="AQ12" s="4">
        <v>796.0</v>
      </c>
      <c r="AR12" s="4">
        <v>2.0</v>
      </c>
      <c r="AS12" s="4">
        <v>1.0</v>
      </c>
      <c r="AT12" s="5">
        <v>1060.01</v>
      </c>
      <c r="AU12" s="10">
        <v>0.0012562814070352</v>
      </c>
      <c r="AV12" s="6">
        <v>0</v>
      </c>
      <c r="AW12" s="6">
        <v>0</v>
      </c>
    </row>
    <row r="13" spans="1:49">
      <c r="A13" s="3">
        <v>11</v>
      </c>
      <c r="B13" s="3" t="s">
        <v>68</v>
      </c>
      <c r="C13" t="s">
        <v>69</v>
      </c>
      <c r="D13" s="3" t="s">
        <v>49</v>
      </c>
      <c r="E13" s="4">
        <v>2500.0</v>
      </c>
      <c r="F13" s="5">
        <v>2803042.0</v>
      </c>
      <c r="G13" s="6">
        <v>0</v>
      </c>
      <c r="H13" s="6">
        <v>0</v>
      </c>
      <c r="I13" s="4">
        <v>1500.0</v>
      </c>
      <c r="J13" s="5">
        <v>1596670.0</v>
      </c>
      <c r="K13" s="4">
        <v>1305.818178</v>
      </c>
      <c r="L13" s="5">
        <v>1380119.232328</v>
      </c>
      <c r="M13" s="11">
        <v>-0.1487050994323</v>
      </c>
      <c r="N13" s="4">
        <v>968.0</v>
      </c>
      <c r="O13" s="4">
        <v>84.818181</v>
      </c>
      <c r="P13" s="4">
        <v>1026.0</v>
      </c>
      <c r="Q13" s="4">
        <v>93.272727</v>
      </c>
      <c r="R13" s="4">
        <v>675.0</v>
      </c>
      <c r="S13" s="5">
        <v>713407.5</v>
      </c>
      <c r="T13" s="4">
        <v>85.5</v>
      </c>
      <c r="U13" s="12">
        <v>7.8947368421053</v>
      </c>
      <c r="V13" s="5">
        <v>1084950.726</v>
      </c>
      <c r="W13" s="5">
        <v>1120.8168657025</v>
      </c>
      <c r="X13" s="5">
        <v>1749650.834</v>
      </c>
      <c r="Y13" s="5">
        <v>1807.4905309917</v>
      </c>
      <c r="Z13" s="5">
        <v>664700.108</v>
      </c>
      <c r="AA13" s="5">
        <v>686.67366528926</v>
      </c>
      <c r="AB13" s="9">
        <v>0.37990443297785</v>
      </c>
      <c r="AC13" s="4">
        <v>968.0</v>
      </c>
      <c r="AD13" s="4">
        <v>1.0</v>
      </c>
      <c r="AE13" s="4">
        <v>9.0</v>
      </c>
      <c r="AF13" s="6">
        <v>0</v>
      </c>
      <c r="AG13" s="10">
        <v>0.009297520661157</v>
      </c>
      <c r="AH13" s="6">
        <v>0</v>
      </c>
      <c r="AI13" s="6">
        <v>0</v>
      </c>
      <c r="AJ13" s="5">
        <v>1103798.989</v>
      </c>
      <c r="AK13" s="5">
        <v>1075.8274746589</v>
      </c>
      <c r="AL13" s="5">
        <v>1885582.481</v>
      </c>
      <c r="AM13" s="5">
        <v>1837.7996890838</v>
      </c>
      <c r="AN13" s="5">
        <v>781783.492</v>
      </c>
      <c r="AO13" s="5">
        <v>761.97221442495</v>
      </c>
      <c r="AP13" s="9">
        <v>0.41461113469053</v>
      </c>
      <c r="AQ13" s="4">
        <v>1026.0</v>
      </c>
      <c r="AR13" s="4">
        <v>1.0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70</v>
      </c>
      <c r="C14" t="s">
        <v>71</v>
      </c>
      <c r="D14" s="3" t="s">
        <v>59</v>
      </c>
      <c r="E14" s="4">
        <v>2.0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4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8" t="s">
        <v>46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72</v>
      </c>
      <c r="C15" t="s">
        <v>73</v>
      </c>
      <c r="D15" s="3" t="s">
        <v>59</v>
      </c>
      <c r="E15" s="6">
        <v>0</v>
      </c>
      <c r="F15" s="6">
        <v>0</v>
      </c>
      <c r="G15" s="6">
        <v>0</v>
      </c>
      <c r="H15" s="6">
        <v>0</v>
      </c>
      <c r="I15" s="4">
        <v>5.0</v>
      </c>
      <c r="J15" s="6">
        <v>0</v>
      </c>
      <c r="K15" s="6">
        <v>0</v>
      </c>
      <c r="L15" s="6">
        <v>0</v>
      </c>
      <c r="M15" s="14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8" t="s">
        <v>46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3">
        <v>0</v>
      </c>
      <c r="AC15" s="6">
        <v>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74</v>
      </c>
      <c r="C16" t="s">
        <v>75</v>
      </c>
      <c r="D16" s="3" t="s">
        <v>59</v>
      </c>
      <c r="E16" s="6">
        <v>0</v>
      </c>
      <c r="F16" s="6">
        <v>0</v>
      </c>
      <c r="G16" s="6">
        <v>0</v>
      </c>
      <c r="H16" s="6">
        <v>0</v>
      </c>
      <c r="I16" s="4">
        <v>5.0</v>
      </c>
      <c r="J16" s="6">
        <v>0</v>
      </c>
      <c r="K16" s="6">
        <v>0</v>
      </c>
      <c r="L16" s="6">
        <v>0</v>
      </c>
      <c r="M16" s="14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8" t="s">
        <v>46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76</v>
      </c>
      <c r="C17" t="s">
        <v>77</v>
      </c>
      <c r="D17" s="3" t="s">
        <v>59</v>
      </c>
      <c r="E17" s="6">
        <v>0</v>
      </c>
      <c r="F17" s="6">
        <v>0</v>
      </c>
      <c r="G17" s="6">
        <v>0</v>
      </c>
      <c r="H17" s="6">
        <v>0</v>
      </c>
      <c r="I17" s="4">
        <v>5.0</v>
      </c>
      <c r="J17" s="6">
        <v>0</v>
      </c>
      <c r="K17" s="6">
        <v>0</v>
      </c>
      <c r="L17" s="6">
        <v>0</v>
      </c>
      <c r="M17" s="14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8" t="s">
        <v>46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3">
        <v>0</v>
      </c>
      <c r="AC17" s="6">
        <v>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78</v>
      </c>
      <c r="C18" t="s">
        <v>79</v>
      </c>
      <c r="D18" s="3" t="s">
        <v>54</v>
      </c>
      <c r="E18" s="6">
        <v>0</v>
      </c>
      <c r="F18" s="6">
        <v>0</v>
      </c>
      <c r="G18" s="6">
        <v>0</v>
      </c>
      <c r="H18" s="6">
        <v>0</v>
      </c>
      <c r="I18" s="4">
        <v>5.0</v>
      </c>
      <c r="J18" s="6">
        <v>0</v>
      </c>
      <c r="K18" s="6">
        <v>0</v>
      </c>
      <c r="L18" s="6">
        <v>0</v>
      </c>
      <c r="M18" s="14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8" t="s">
        <v>46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80</v>
      </c>
      <c r="C19" t="s">
        <v>81</v>
      </c>
      <c r="D19" s="3" t="s">
        <v>59</v>
      </c>
      <c r="E19" s="6">
        <v>0</v>
      </c>
      <c r="F19" s="6">
        <v>0</v>
      </c>
      <c r="G19" s="6">
        <v>0</v>
      </c>
      <c r="H19" s="6">
        <v>0</v>
      </c>
      <c r="I19" s="4">
        <v>30.0</v>
      </c>
      <c r="J19" s="5">
        <v>12833.7</v>
      </c>
      <c r="K19" s="4">
        <v>16.545452</v>
      </c>
      <c r="L19" s="5">
        <v>7077.978911</v>
      </c>
      <c r="M19" s="11">
        <v>-0.81318709213867</v>
      </c>
      <c r="N19" s="4">
        <v>7.0</v>
      </c>
      <c r="O19" s="4">
        <v>0.636363</v>
      </c>
      <c r="P19" s="4">
        <v>13.0</v>
      </c>
      <c r="Q19" s="4">
        <v>1.181818</v>
      </c>
      <c r="R19" s="4">
        <v>20.0</v>
      </c>
      <c r="S19" s="5">
        <v>8555.8</v>
      </c>
      <c r="T19" s="4">
        <v>1.083333</v>
      </c>
      <c r="U19" s="12">
        <v>18.461544142014</v>
      </c>
      <c r="V19" s="6">
        <v>0</v>
      </c>
      <c r="W19" s="5">
        <v>0.0</v>
      </c>
      <c r="X19" s="5">
        <v>7850.47</v>
      </c>
      <c r="Y19" s="5">
        <v>1121.4957142857</v>
      </c>
      <c r="Z19" s="5">
        <v>7850.47</v>
      </c>
      <c r="AA19" s="5">
        <v>1121.4957142857</v>
      </c>
      <c r="AB19" s="9">
        <v>1.0</v>
      </c>
      <c r="AC19" s="4">
        <v>7.0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4277.9</v>
      </c>
      <c r="AK19" s="5">
        <v>329.06923076923</v>
      </c>
      <c r="AL19" s="5">
        <v>11635.47</v>
      </c>
      <c r="AM19" s="5">
        <v>895.03615384615</v>
      </c>
      <c r="AN19" s="5">
        <v>7357.57</v>
      </c>
      <c r="AO19" s="5">
        <v>565.96692307692</v>
      </c>
      <c r="AP19" s="9">
        <v>0.63233973359048</v>
      </c>
      <c r="AQ19" s="4">
        <v>13.0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82</v>
      </c>
      <c r="C20" t="s">
        <v>83</v>
      </c>
      <c r="D20" s="3" t="s">
        <v>59</v>
      </c>
      <c r="E20" s="6">
        <v>0</v>
      </c>
      <c r="F20" s="6">
        <v>0</v>
      </c>
      <c r="G20" s="6">
        <v>0</v>
      </c>
      <c r="H20" s="6">
        <v>0</v>
      </c>
      <c r="I20" s="4">
        <v>30.0</v>
      </c>
      <c r="J20" s="5">
        <v>6794.4</v>
      </c>
      <c r="K20" s="6">
        <v>0</v>
      </c>
      <c r="L20" s="6">
        <v>0</v>
      </c>
      <c r="M20" s="14">
        <v>0</v>
      </c>
      <c r="N20" s="4">
        <v>1.0</v>
      </c>
      <c r="O20" s="4">
        <v>0.090909</v>
      </c>
      <c r="P20" s="6">
        <v>0</v>
      </c>
      <c r="Q20" s="6">
        <v>0</v>
      </c>
      <c r="R20" s="4">
        <v>30.0</v>
      </c>
      <c r="S20" s="5">
        <v>6794.4</v>
      </c>
      <c r="T20" s="6">
        <v>0</v>
      </c>
      <c r="U20" s="8" t="s">
        <v>46</v>
      </c>
      <c r="V20" s="6">
        <v>0</v>
      </c>
      <c r="W20" s="5">
        <v>0.0</v>
      </c>
      <c r="X20" s="5">
        <v>700.935</v>
      </c>
      <c r="Y20" s="5">
        <v>700.935</v>
      </c>
      <c r="Z20" s="5">
        <v>700.935</v>
      </c>
      <c r="AA20" s="5">
        <v>700.935</v>
      </c>
      <c r="AB20" s="9">
        <v>1.0</v>
      </c>
      <c r="AC20" s="4">
        <v>1.0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84</v>
      </c>
      <c r="C21" t="s">
        <v>85</v>
      </c>
      <c r="D21" s="3" t="s">
        <v>59</v>
      </c>
      <c r="E21" s="6">
        <v>0</v>
      </c>
      <c r="F21" s="6">
        <v>0</v>
      </c>
      <c r="G21" s="6">
        <v>0</v>
      </c>
      <c r="H21" s="6">
        <v>0</v>
      </c>
      <c r="I21" s="4">
        <v>30.0</v>
      </c>
      <c r="J21" s="5">
        <v>453.0</v>
      </c>
      <c r="K21" s="4">
        <v>2.545452</v>
      </c>
      <c r="L21" s="5">
        <v>38.436325</v>
      </c>
      <c r="M21" s="11">
        <v>-10.78572607144</v>
      </c>
      <c r="N21" s="6">
        <v>0</v>
      </c>
      <c r="O21" s="6">
        <v>0</v>
      </c>
      <c r="P21" s="4">
        <v>2.0</v>
      </c>
      <c r="Q21" s="4">
        <v>0.181818</v>
      </c>
      <c r="R21" s="4">
        <v>28.0</v>
      </c>
      <c r="S21" s="5">
        <v>422.8</v>
      </c>
      <c r="T21" s="4">
        <v>0.166666</v>
      </c>
      <c r="U21" s="12">
        <v>168.00067200269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30.2</v>
      </c>
      <c r="AK21" s="5">
        <v>15.1</v>
      </c>
      <c r="AL21" s="5">
        <v>93.449</v>
      </c>
      <c r="AM21" s="5">
        <v>46.7245</v>
      </c>
      <c r="AN21" s="5">
        <v>63.249</v>
      </c>
      <c r="AO21" s="5">
        <v>31.6245</v>
      </c>
      <c r="AP21" s="9">
        <v>0.67682907254224</v>
      </c>
      <c r="AQ21" s="4">
        <v>2.0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86</v>
      </c>
      <c r="C22" t="s">
        <v>87</v>
      </c>
      <c r="D22" s="3" t="s">
        <v>54</v>
      </c>
      <c r="E22" s="6">
        <v>0</v>
      </c>
      <c r="F22" s="6">
        <v>0</v>
      </c>
      <c r="G22" s="6">
        <v>0</v>
      </c>
      <c r="H22" s="6">
        <v>0</v>
      </c>
      <c r="I22" s="4">
        <v>30.0</v>
      </c>
      <c r="J22" s="5">
        <v>8304.9</v>
      </c>
      <c r="K22" s="6">
        <v>0</v>
      </c>
      <c r="L22" s="6">
        <v>0</v>
      </c>
      <c r="M22" s="14">
        <v>0</v>
      </c>
      <c r="N22" s="6">
        <v>0</v>
      </c>
      <c r="O22" s="6">
        <v>0</v>
      </c>
      <c r="P22" s="6">
        <v>0</v>
      </c>
      <c r="Q22" s="6">
        <v>0</v>
      </c>
      <c r="R22" s="4">
        <v>30.0</v>
      </c>
      <c r="S22" s="5">
        <v>8304.9</v>
      </c>
      <c r="T22" s="6">
        <v>0</v>
      </c>
      <c r="U22" s="8" t="s">
        <v>46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1" t="s">
        <v>88</v>
      </c>
      <c r="B23" s="1"/>
      <c r="C23" s="1"/>
      <c r="D23" s="1"/>
      <c r="E23" s="1"/>
      <c r="F23" s="17">
        <f>SUM(F3:F23)</f>
        <v>7334140.2</v>
      </c>
      <c r="G23" s="1"/>
      <c r="H23" s="17">
        <f>SUM(H3:H23)</f>
        <v>2469349.72</v>
      </c>
      <c r="I23" s="1"/>
      <c r="J23" s="17">
        <f>SUM(J3:J23)</f>
        <v>3465133</v>
      </c>
      <c r="K23" s="1"/>
      <c r="L23" s="17">
        <f>SUM(L3:L23)</f>
        <v>3927240.5898</v>
      </c>
      <c r="M23" s="1"/>
      <c r="N23" s="1"/>
      <c r="O23" s="1"/>
      <c r="P23" s="1"/>
      <c r="Q23" s="1"/>
      <c r="R23" s="1"/>
      <c r="S23" s="17">
        <f>SUM(S3:S23)</f>
        <v>1804248.534</v>
      </c>
      <c r="T23" s="1"/>
      <c r="U23" s="1"/>
      <c r="V23" s="17">
        <f>SUM(V3:V23)</f>
        <v>4155092.534</v>
      </c>
      <c r="W23" s="1"/>
      <c r="X23" s="17">
        <f>SUM(X3:X23)</f>
        <v>7951672.999</v>
      </c>
      <c r="Y23" s="1"/>
      <c r="Z23" s="17">
        <f>SUM(Z3:Z23)</f>
        <v>3796580.465</v>
      </c>
      <c r="AA23" s="1"/>
      <c r="AB23" s="1"/>
      <c r="AC23" s="1"/>
      <c r="AD23" s="1"/>
      <c r="AE23" s="1"/>
      <c r="AF23" s="17">
        <f>SUM(AF3:AF23)</f>
        <v>3767.77</v>
      </c>
      <c r="AG23" s="1"/>
      <c r="AH23" s="1"/>
      <c r="AI23" s="17">
        <f>SUM(AI3:AI23)</f>
        <v>0</v>
      </c>
      <c r="AJ23" s="17">
        <f>SUM(AJ3:V23)</f>
        <v>35054802.605977</v>
      </c>
      <c r="AK23" s="1"/>
      <c r="AL23" s="17">
        <f>SUM(AL3:AL23)</f>
        <v>6056486.376</v>
      </c>
      <c r="AM23" s="1"/>
      <c r="AN23" s="17">
        <f>SUM(AN3:AN23)</f>
        <v>2859937.09</v>
      </c>
      <c r="AO23" s="1"/>
      <c r="AP23" s="1"/>
      <c r="AQ23" s="1"/>
      <c r="AR23" s="1"/>
      <c r="AS23" s="1"/>
      <c r="AT23" s="17">
        <f>SUM(AT3:AT23)</f>
        <v>3767.77</v>
      </c>
      <c r="AU23" s="1"/>
      <c r="AV23" s="1"/>
      <c r="AW23" s="17">
        <f>SUM(AW3:AW23)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3:D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"/>
  <sheetViews>
    <sheetView tabSelected="0" workbookViewId="0" showGridLines="true" showRowColHeaders="1">
      <pane ySplit="1" topLeftCell="A2" activePane="bottomLeft" state="frozen"/>
      <selection pane="bottomLeft" activeCell="I8" sqref="I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1</v>
      </c>
      <c r="G1" s="1" t="s">
        <v>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98</v>
      </c>
      <c r="C2" s="3" t="s">
        <v>99</v>
      </c>
      <c r="D2" s="18">
        <v>44979.0</v>
      </c>
      <c r="E2" t="s">
        <v>100</v>
      </c>
      <c r="F2" s="3" t="s">
        <v>66</v>
      </c>
      <c r="G2" t="s">
        <v>67</v>
      </c>
      <c r="H2" s="3" t="s">
        <v>101</v>
      </c>
      <c r="I2" s="4">
        <v>1.0</v>
      </c>
      <c r="J2" t="s">
        <v>102</v>
      </c>
      <c r="K2" t="s">
        <v>103</v>
      </c>
      <c r="L2" t="s">
        <v>104</v>
      </c>
    </row>
    <row r="3" spans="1:36">
      <c r="A3" s="3">
        <v>2</v>
      </c>
      <c r="B3" t="s">
        <v>98</v>
      </c>
      <c r="C3" s="3" t="s">
        <v>105</v>
      </c>
      <c r="D3" s="18">
        <v>45156.0</v>
      </c>
      <c r="E3" t="s">
        <v>106</v>
      </c>
      <c r="F3" s="3" t="s">
        <v>66</v>
      </c>
      <c r="G3" t="s">
        <v>67</v>
      </c>
      <c r="H3" s="3" t="s">
        <v>101</v>
      </c>
      <c r="I3" s="4">
        <v>1.0</v>
      </c>
      <c r="J3" t="s">
        <v>102</v>
      </c>
      <c r="K3" t="s">
        <v>103</v>
      </c>
      <c r="L3" t="s">
        <v>107</v>
      </c>
    </row>
    <row r="4" spans="1:36">
      <c r="A4" s="3">
        <v>3</v>
      </c>
      <c r="B4" t="s">
        <v>98</v>
      </c>
      <c r="C4" s="3" t="s">
        <v>105</v>
      </c>
      <c r="D4" s="18">
        <v>45156.0</v>
      </c>
      <c r="E4" t="s">
        <v>106</v>
      </c>
      <c r="F4" s="3" t="s">
        <v>50</v>
      </c>
      <c r="G4" t="s">
        <v>51</v>
      </c>
      <c r="H4" s="3" t="s">
        <v>101</v>
      </c>
      <c r="I4" s="4">
        <v>1.0</v>
      </c>
      <c r="J4" t="s">
        <v>102</v>
      </c>
      <c r="K4" t="s">
        <v>103</v>
      </c>
      <c r="L4" t="s">
        <v>108</v>
      </c>
    </row>
    <row r="5" spans="1:36">
      <c r="A5" s="3">
        <v>4</v>
      </c>
      <c r="B5" t="s">
        <v>98</v>
      </c>
      <c r="C5" s="3" t="s">
        <v>109</v>
      </c>
      <c r="D5" s="18">
        <v>44852.0</v>
      </c>
      <c r="E5" t="s">
        <v>110</v>
      </c>
      <c r="F5" s="3" t="s">
        <v>68</v>
      </c>
      <c r="G5" t="s">
        <v>69</v>
      </c>
      <c r="H5" s="3" t="s">
        <v>101</v>
      </c>
      <c r="I5" s="4">
        <v>1.0</v>
      </c>
      <c r="J5" t="s">
        <v>111</v>
      </c>
      <c r="K5" t="s">
        <v>103</v>
      </c>
      <c r="L5" t="s">
        <v>112</v>
      </c>
    </row>
    <row r="6" spans="1:36">
      <c r="A6" s="3">
        <v>5</v>
      </c>
      <c r="B6" t="s">
        <v>98</v>
      </c>
      <c r="C6" s="3" t="s">
        <v>113</v>
      </c>
      <c r="D6" s="18">
        <v>45154.0</v>
      </c>
      <c r="E6" t="s">
        <v>114</v>
      </c>
      <c r="F6" s="3" t="s">
        <v>68</v>
      </c>
      <c r="G6" t="s">
        <v>69</v>
      </c>
      <c r="H6" s="3" t="s">
        <v>101</v>
      </c>
      <c r="I6" s="4">
        <v>1.0</v>
      </c>
      <c r="J6" t="s">
        <v>102</v>
      </c>
      <c r="K6" t="s">
        <v>103</v>
      </c>
      <c r="L6" t="s">
        <v>115</v>
      </c>
    </row>
    <row r="7" spans="1:36">
      <c r="A7" s="3">
        <v>6</v>
      </c>
      <c r="B7" t="s">
        <v>116</v>
      </c>
      <c r="C7" s="3" t="s">
        <v>117</v>
      </c>
      <c r="D7" s="18">
        <v>44677.0</v>
      </c>
      <c r="E7" t="s">
        <v>118</v>
      </c>
      <c r="F7" s="3" t="s">
        <v>43</v>
      </c>
      <c r="G7" t="s">
        <v>44</v>
      </c>
      <c r="H7" s="3" t="s">
        <v>101</v>
      </c>
      <c r="I7" s="4">
        <v>1.0</v>
      </c>
      <c r="J7" t="s">
        <v>111</v>
      </c>
      <c r="K7" t="s">
        <v>103</v>
      </c>
      <c r="L7" t="s">
        <v>119</v>
      </c>
    </row>
    <row r="8" spans="1:36">
      <c r="A8" s="3">
        <v>7</v>
      </c>
      <c r="B8" t="s">
        <v>98</v>
      </c>
      <c r="C8" s="3" t="s">
        <v>120</v>
      </c>
      <c r="D8" s="18">
        <v>45100.0</v>
      </c>
      <c r="E8" t="s">
        <v>121</v>
      </c>
      <c r="F8" s="3" t="s">
        <v>43</v>
      </c>
      <c r="G8" t="s">
        <v>44</v>
      </c>
      <c r="H8" s="3" t="s">
        <v>101</v>
      </c>
      <c r="I8" s="4">
        <v>1.0</v>
      </c>
      <c r="J8" t="s">
        <v>102</v>
      </c>
      <c r="K8" t="s">
        <v>103</v>
      </c>
      <c r="L8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2023-12-28T16:41:44+07:00</dcterms:created>
  <dcterms:modified xsi:type="dcterms:W3CDTF">2023-12-28T16:41:44+07:00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