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<sst xmlns="http://schemas.openxmlformats.org/spreadsheetml/2006/main" uniqueCount="189">
  <si>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</si>
  <si>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</si>
  <si>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</si>
  <si>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</si>
  <si>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</si>
  <si>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</si>
  <si>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</si>
  <si>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</si>
  <si>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</si>
  <si>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</si>
  <si>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</si>
  <si>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</si>
  <si>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</si>
  <si>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</si>
  <si>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</si>
  <si>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27/09/2023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</si>
  <si>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</si>
  <si>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</si>
  <si>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</si>
  <si>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</si>
  <si>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</si>
  <si>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</si>
  <si>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</si>
  <si>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</si>
  <si>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</si>
  <si>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</si>
  <si>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</si>
  <si>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</si>
  <si>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</si>
  <si>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</si>
  <si>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</si>
  <si>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</si>
  <si>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</si>
  <si>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</si>
  <si>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</si>
  <si>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</si>
  <si>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</si>
  <si>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</si>
  <si>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</si>
  <si>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</si>
  <si>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</si>
  <si>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</si>
  <si>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05-015-021</t>
  </si>
  <si>
    <t>ปั๊มลมโรตารี่ 50 ลิตร</t>
  </si>
  <si>
    <t>A</t>
  </si>
  <si>
    <t>05-015-020</t>
  </si>
  <si>
    <t>ปั๊มลมโรตารี่ 30 ลิตร</t>
  </si>
  <si>
    <t>05-015-322</t>
  </si>
  <si>
    <t>ปั๊มลม OS 24B1 750W x 1</t>
  </si>
  <si>
    <t>05-015-265</t>
  </si>
  <si>
    <t>ปั๊มลมสายพาน EUROX 3HP 100L</t>
  </si>
  <si>
    <t>M</t>
  </si>
  <si>
    <t>DEAD</t>
  </si>
  <si>
    <t>10-520-550</t>
  </si>
  <si>
    <t>OS25/OS50 Solenoid Valve</t>
  </si>
  <si>
    <t>10-503-400</t>
  </si>
  <si>
    <t>EU2530/50 No.40 ชุดมอเตอร์</t>
  </si>
  <si>
    <t>D</t>
  </si>
  <si>
    <t>10-520-530</t>
  </si>
  <si>
    <t>OS25/OS50 Presure Switch</t>
  </si>
  <si>
    <t>10-540-016</t>
  </si>
  <si>
    <t>OS50L 750W NO.16 Cylinder</t>
  </si>
  <si>
    <t>10-520-010</t>
  </si>
  <si>
    <t>OS25/OS50 หม้อกรองอากาศ</t>
  </si>
  <si>
    <t>10-520-410</t>
  </si>
  <si>
    <t>OS25/OS50 Capacitor 20F</t>
  </si>
  <si>
    <t>10-503-600</t>
  </si>
  <si>
    <t>EU2530/50 No.60 ล้อ</t>
  </si>
  <si>
    <t>D22</t>
  </si>
  <si>
    <t>03-003-106</t>
  </si>
  <si>
    <t>ตัวดักน้ำอย่างเดียว1/4" AFR2000 (สีแดง)</t>
  </si>
  <si>
    <t>D21</t>
  </si>
  <si>
    <t>05-015-202</t>
  </si>
  <si>
    <t>ปั๊มลมสายพาน 1HP 36L (เบอร์5)</t>
  </si>
  <si>
    <t>05-015-325</t>
  </si>
  <si>
    <t>ปั๊มลม OS 35L 550W EUROX ถังตั้ง</t>
  </si>
  <si>
    <t>05-015-335</t>
  </si>
  <si>
    <t>ปั๊มลม OS 50L EUROX 1600W Black Edition</t>
  </si>
  <si>
    <t>N</t>
  </si>
  <si>
    <t>05-015-336</t>
  </si>
  <si>
    <t>ปั๊มลม OS 50L EUROX 1600W Titan</t>
  </si>
  <si>
    <t>10-503-610</t>
  </si>
  <si>
    <t>EU2530/50 No.61 น๊อตล้อยาว(ตัวผู้)</t>
  </si>
  <si>
    <t>10-503-800</t>
  </si>
  <si>
    <t>โรตารี่ 30L/50L CONDENSER 30UF</t>
  </si>
  <si>
    <t>10-503-801</t>
  </si>
  <si>
    <t>โรตารี่ 30L/50L 6 INCH BLACK WHEEL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</si>
  <si>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</si>
  <si>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</si>
  <si>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</si>
  <si>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</si>
  <si>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</si>
  <si>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</si>
  <si>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</si>
  <si>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</si>
  <si>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</si>
  <si>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</si>
  <si>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</si>
  <si>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</si>
  <si>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10-505-007</t>
  </si>
  <si>
    <t>E3614 4.5 INCH WHEEL</t>
  </si>
  <si>
    <t>10-505-008</t>
  </si>
  <si>
    <t>E3614 6 INCH WHEEL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</si>
  <si>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</si>
  <si>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</si>
  <si>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</si>
  <si>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</si>
  <si>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</si>
  <si>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</si>
  <si>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</si>
  <si>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</si>
  <si>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</si>
  <si>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</si>
  <si>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</si>
  <si>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</si>
  <si>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</si>
  <si>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</si>
  <si>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</si>
  <si>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</si>
  <si>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</si>
  <si>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RN-65052067</t>
  </si>
  <si>
    <t>M-00170 - โฮมมอลล์ ( มือปืน)</t>
  </si>
  <si>
    <t>WP5</t>
  </si>
  <si>
    <t>ตัว</t>
  </si>
  <si>
    <t>สินค้าชำรุดสภาพดี AX</t>
  </si>
  <si>
    <t>มอเตอร์ซ็อตและเครื่องไม่ทำงาน</t>
  </si>
  <si>
    <t>PE-65051036</t>
  </si>
  <si>
    <t>C-06529 - พัทยาสตีล</t>
  </si>
  <si>
    <t>ชำรุดจากโรงงาน</t>
  </si>
  <si>
    <t>ตัวถังรั่วเชื่อมไม่ดีเป็นรู</t>
  </si>
  <si>
    <t>ฝ่ายขายโมเดิร์นเทรด 2</t>
  </si>
  <si>
    <t>RN-65072035</t>
  </si>
  <si>
    <t>M-00342 - โฮมโปรดักส์ เซ็นเตอร์ (สาขาเมกาโฮม-บ้านฉาง)สาขาที่00115</t>
  </si>
  <si>
    <t>ลูกสูบติด</t>
  </si>
  <si>
    <t>ฝ่ายขายโมเดิร์นเทรด 1</t>
  </si>
  <si>
    <t>PN-65084013</t>
  </si>
  <si>
    <t>M-00276 - ต.แสงชัยชุมแพ (1985) จำกัด</t>
  </si>
  <si>
    <t>ไม่ปั๊มลม ไม่มีคู่มือ, น็อตใส่ล้อและลูกยางใส่ปั๊มลมล้อหน้า 2 อัน</t>
  </si>
  <si>
    <t>PE-66051039</t>
  </si>
  <si>
    <t>C-05753 - มามาโฮมมาร์ท (SM มือปืน)</t>
  </si>
  <si>
    <t>ถังรั่ว</t>
  </si>
  <si>
    <t>RN-65032039</t>
  </si>
  <si>
    <t>C-03817 - เจริญสุขโฮมพลัส(SM TT PC)</t>
  </si>
  <si>
    <t>ไม่มีโอเวอร์โหลด</t>
  </si>
  <si>
    <t>RN-65072032</t>
  </si>
  <si>
    <t>M-00050 - โฮมฮับ -อุดรธานี สาขา 00004</t>
  </si>
  <si>
    <t>เพรสเชอร์สวิทซ์ซ็อต</t>
  </si>
  <si>
    <t>PN-65084014</t>
  </si>
  <si>
    <t>M-00310 - ไทยเพิ่มพูลโฮมช็อป (พังโคน)</t>
  </si>
  <si>
    <t>เพรสเชอร์ช็อตไหม้</t>
  </si>
  <si>
    <t>PN-66014032</t>
  </si>
  <si>
    <t>M-00315 - โฮมฮับ - ทัพไท (สาขาที่ 5)</t>
  </si>
  <si>
    <t>PCS</t>
  </si>
  <si>
    <t>ลมรั่วตามด</t>
  </si>
  <si>
    <t>PN-66024044</t>
  </si>
  <si>
    <t>M-00159 - ศิริมหาชัย ศรีสะเกษ</t>
  </si>
  <si>
    <t>PE-66031015</t>
  </si>
  <si>
    <t>C-09523 - ชัยเสถียร(ไชยปราการ)</t>
  </si>
  <si>
    <t>มอเตอร์ไม่ทำงาน/ช็อต</t>
  </si>
  <si>
    <t>PE-66051022</t>
  </si>
  <si>
    <t>C-02734 - ไถ่เชียงวัสดุก่อสร้าง (แยกปฐมพร) SM TT PC</t>
  </si>
  <si>
    <t>รั่วตามด</t>
  </si>
  <si>
    <t>PE-66051043</t>
  </si>
  <si>
    <t>M-00246 - ไอดีโฮม 2015(SM TT PC)</t>
  </si>
  <si>
    <t>ฝาสูบแตก</t>
  </si>
  <si>
    <t>PN-66074028</t>
  </si>
  <si>
    <t>มอเตอร์ซ็อต</t>
  </si>
  <si>
    <t>PE-66081022</t>
  </si>
  <si>
    <t>C-12661 - คิงส์โฮม(2018)</t>
  </si>
  <si>
    <t>สิ่งที่ตรวจพบว่าsafety valve หัก</t>
  </si>
  <si>
    <t>PN-66094008</t>
  </si>
  <si>
    <t>M-00472 - บริษัท จำลองชัยโฮมเซ็นเตอร์ จำกัด</t>
  </si>
  <si>
    <t>มอเตอร์ซ็อต, เสียบปลั๊กแล้วมีเสียงแต่ไม่ทำงาน</t>
  </si>
  <si>
    <t>RN-66082025</t>
  </si>
  <si>
    <t>C-12058 - โฮมพลัส สโตร์(SM PC)</t>
  </si>
  <si>
    <t>ถังรั่วตามด</t>
  </si>
  <si>
    <t>PE-66081010</t>
  </si>
  <si>
    <t>M-00492 - โฮมโปรดักส์ เซ็นเตอร์ (สาขาเมกาโฮม-เชียงใหม่) สาขาที่00143</t>
  </si>
  <si>
    <t>มอเตอร์ช็อตเสียลองเปลี่ยนคาปาแล้วไม่ติด</t>
  </si>
  <si>
    <t>PN-65044003</t>
  </si>
  <si>
    <t>M-00292 - ไทยเพิ่มพูลโฮมช็อป (กุฉินารายณ์)</t>
  </si>
  <si>
    <t>สินค้าชำรุดมากสภาพ BX</t>
  </si>
  <si>
    <t>ยางล้อแตก</t>
  </si>
  <si>
    <t>PN-65074017</t>
  </si>
  <si>
    <t>M-00337 - ไทยเพิ่มพูลโฮมช็อป (มหาสารคาม)</t>
  </si>
  <si>
    <t>ล้อแตก</t>
  </si>
  <si>
    <t>PN-65094018</t>
  </si>
  <si>
    <t>M-00154 - ศิริมหาชัย อุบลราชธานี</t>
  </si>
  <si>
    <t>ยางเสื่อมสภาพ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</si>
</sst>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96710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2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5" numFmtId="164" fillId="4" borderId="0" applyFont="1" applyNumberFormat="1" applyFill="1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33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33" sqref="AP33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570.0</v>
      </c>
      <c r="F3" s="5">
        <v>1374306.7</v>
      </c>
      <c r="G3" s="4">
        <v>740.0</v>
      </c>
      <c r="H3" s="5">
        <v>2068668.304</v>
      </c>
      <c r="I3" s="4">
        <v>115.0</v>
      </c>
      <c r="J3" s="5">
        <v>275710.7</v>
      </c>
      <c r="K3" s="4">
        <v>656.0</v>
      </c>
      <c r="L3" s="5">
        <v>1632606.88</v>
      </c>
      <c r="M3" s="6">
        <v>-0.1280487804878</v>
      </c>
      <c r="N3" s="4">
        <v>451.0</v>
      </c>
      <c r="O3" s="4">
        <v>41.0</v>
      </c>
      <c r="P3" s="4">
        <v>304.0</v>
      </c>
      <c r="Q3" s="4">
        <v>36.875</v>
      </c>
      <c r="R3" s="4">
        <v>161.0</v>
      </c>
      <c r="S3" s="5">
        <v>400685.53</v>
      </c>
      <c r="T3" s="4">
        <v>36.833333</v>
      </c>
      <c r="U3" s="7">
        <v>4.3710407635388</v>
      </c>
      <c r="V3" s="5">
        <v>1195608.137</v>
      </c>
      <c r="W3" s="5">
        <v>2651.0158248337</v>
      </c>
      <c r="X3" s="5">
        <v>1697724.22</v>
      </c>
      <c r="Y3" s="5">
        <v>3764.3552549889</v>
      </c>
      <c r="Z3" s="5">
        <v>502116.083</v>
      </c>
      <c r="AA3" s="5">
        <v>1113.3394301552</v>
      </c>
      <c r="AB3" s="8">
        <v>0.2957583317036</v>
      </c>
      <c r="AC3" s="4">
        <v>451.0</v>
      </c>
      <c r="AD3" s="4">
        <v>3.0</v>
      </c>
      <c r="AE3" s="4">
        <v>12.0</v>
      </c>
      <c r="AF3" s="9">
        <v>0</v>
      </c>
      <c r="AG3" s="10">
        <v>0.026607538802661</v>
      </c>
      <c r="AH3" s="4">
        <v>7.0</v>
      </c>
      <c r="AI3" s="5">
        <v>17421.11</v>
      </c>
      <c r="AJ3" s="4">
        <v>304.0</v>
      </c>
      <c r="AK3" s="4">
        <v>8.0</v>
      </c>
      <c r="AL3" s="9">
        <v>0</v>
      </c>
      <c r="AM3" s="9">
        <v>0</v>
      </c>
      <c r="AN3" s="3">
        <v>0</v>
      </c>
      <c r="AO3" s="4">
        <v>7.0</v>
      </c>
      <c r="AP3" s="5">
        <v>17421.11</v>
      </c>
    </row>
    <row r="4" spans="1:42">
      <c r="A4" s="3">
        <v>2</v>
      </c>
      <c r="B4" s="3" t="s">
        <v>45</v>
      </c>
      <c r="C4" t="s">
        <v>46</v>
      </c>
      <c r="D4" s="3" t="s">
        <v>44</v>
      </c>
      <c r="E4" s="4">
        <v>306.0</v>
      </c>
      <c r="F4" s="5">
        <v>643952.4</v>
      </c>
      <c r="G4" s="4">
        <v>373.0</v>
      </c>
      <c r="H4" s="5">
        <v>926161.57</v>
      </c>
      <c r="I4" s="4">
        <v>191.0</v>
      </c>
      <c r="J4" s="5">
        <v>417022.07</v>
      </c>
      <c r="K4" s="4">
        <v>464.0</v>
      </c>
      <c r="L4" s="5">
        <v>1046510.24</v>
      </c>
      <c r="M4" s="11">
        <v>0.19612068965517</v>
      </c>
      <c r="N4" s="4">
        <v>320.0</v>
      </c>
      <c r="O4" s="4">
        <v>29.0</v>
      </c>
      <c r="P4" s="4">
        <v>190.0</v>
      </c>
      <c r="Q4" s="4">
        <v>23.375</v>
      </c>
      <c r="R4" s="4">
        <v>151.0</v>
      </c>
      <c r="S4" s="5">
        <v>340566.91</v>
      </c>
      <c r="T4" s="4">
        <v>21.75</v>
      </c>
      <c r="U4" s="12">
        <v>6.9425287356322</v>
      </c>
      <c r="V4" s="5">
        <v>741579.926</v>
      </c>
      <c r="W4" s="5">
        <v>2317.43726875</v>
      </c>
      <c r="X4" s="5">
        <v>982866.94</v>
      </c>
      <c r="Y4" s="5">
        <v>3071.4591875</v>
      </c>
      <c r="Z4" s="5">
        <v>241287.014</v>
      </c>
      <c r="AA4" s="5">
        <v>754.02191875</v>
      </c>
      <c r="AB4" s="13">
        <v>0.24549306134969</v>
      </c>
      <c r="AC4" s="4">
        <v>320.0</v>
      </c>
      <c r="AD4" s="4">
        <v>4.0</v>
      </c>
      <c r="AE4" s="4">
        <v>4.0</v>
      </c>
      <c r="AF4" s="9">
        <v>0</v>
      </c>
      <c r="AG4" s="10">
        <v>0.0125</v>
      </c>
      <c r="AH4" s="4">
        <v>1.0</v>
      </c>
      <c r="AI4" s="5">
        <v>2255.41</v>
      </c>
      <c r="AJ4" s="4">
        <v>190.0</v>
      </c>
      <c r="AK4" s="4">
        <v>1.0</v>
      </c>
      <c r="AL4" s="9">
        <v>0</v>
      </c>
      <c r="AM4" s="9">
        <v>0</v>
      </c>
      <c r="AN4" s="3">
        <v>0</v>
      </c>
      <c r="AO4" s="4">
        <v>1.0</v>
      </c>
      <c r="AP4" s="5">
        <v>2255.41</v>
      </c>
    </row>
    <row r="5" spans="1:42">
      <c r="A5" s="3">
        <v>3</v>
      </c>
      <c r="B5" s="3" t="s">
        <v>47</v>
      </c>
      <c r="C5" t="s">
        <v>48</v>
      </c>
      <c r="D5" s="3" t="s">
        <v>44</v>
      </c>
      <c r="E5" s="4">
        <v>115.0</v>
      </c>
      <c r="F5" s="5">
        <v>279916.095</v>
      </c>
      <c r="G5" s="4">
        <v>149.0</v>
      </c>
      <c r="H5" s="5">
        <v>436042.689</v>
      </c>
      <c r="I5" s="4">
        <v>40.0</v>
      </c>
      <c r="J5" s="5">
        <v>108881.6</v>
      </c>
      <c r="K5" s="4">
        <v>130.909088</v>
      </c>
      <c r="L5" s="5">
        <v>356339.7739</v>
      </c>
      <c r="M5" s="6">
        <v>-0.13819446973765</v>
      </c>
      <c r="N5" s="4">
        <v>82.0</v>
      </c>
      <c r="O5" s="4">
        <v>8.181818</v>
      </c>
      <c r="P5" s="4">
        <v>77.0</v>
      </c>
      <c r="Q5" s="4">
        <v>9.125</v>
      </c>
      <c r="R5" s="4">
        <v>55.0</v>
      </c>
      <c r="S5" s="5">
        <v>149712.2</v>
      </c>
      <c r="T5" s="4">
        <v>8.333333</v>
      </c>
      <c r="U5" s="12">
        <v>6.600000264</v>
      </c>
      <c r="V5" s="5">
        <v>229629.2</v>
      </c>
      <c r="W5" s="5">
        <v>2800.356097561</v>
      </c>
      <c r="X5" s="5">
        <v>301761.875</v>
      </c>
      <c r="Y5" s="5">
        <v>3680.0228658537</v>
      </c>
      <c r="Z5" s="5">
        <v>72132.675</v>
      </c>
      <c r="AA5" s="5">
        <v>879.66676829268</v>
      </c>
      <c r="AB5" s="13">
        <v>0.23903839741187</v>
      </c>
      <c r="AC5" s="4">
        <v>82.0</v>
      </c>
      <c r="AD5" s="9">
        <v>0</v>
      </c>
      <c r="AE5" s="9">
        <v>0</v>
      </c>
      <c r="AF5" s="9">
        <v>0</v>
      </c>
      <c r="AG5" s="3">
        <v>0</v>
      </c>
      <c r="AH5" s="9">
        <v>0</v>
      </c>
      <c r="AI5" s="9">
        <v>0</v>
      </c>
      <c r="AJ5" s="4">
        <v>77.0</v>
      </c>
      <c r="AK5" s="4">
        <v>1.0</v>
      </c>
      <c r="AL5" s="9">
        <v>0</v>
      </c>
      <c r="AM5" s="9">
        <v>0</v>
      </c>
      <c r="AN5" s="3">
        <v>0</v>
      </c>
      <c r="AO5" s="9">
        <v>0</v>
      </c>
      <c r="AP5" s="9">
        <v>0</v>
      </c>
    </row>
    <row r="6" spans="1:42">
      <c r="A6" s="3">
        <v>4</v>
      </c>
      <c r="B6" s="3" t="s">
        <v>49</v>
      </c>
      <c r="C6" t="s">
        <v>50</v>
      </c>
      <c r="D6" s="3" t="s">
        <v>51</v>
      </c>
      <c r="E6" s="9">
        <v>0</v>
      </c>
      <c r="F6" s="9">
        <v>0</v>
      </c>
      <c r="G6" s="4">
        <v>30.0</v>
      </c>
      <c r="H6" s="5">
        <v>248510.91</v>
      </c>
      <c r="I6" s="9">
        <v>0</v>
      </c>
      <c r="J6" s="9">
        <v>0</v>
      </c>
      <c r="K6" s="4">
        <v>43.636352</v>
      </c>
      <c r="L6" s="9">
        <v>0</v>
      </c>
      <c r="M6" s="11">
        <v>0.31249981666662</v>
      </c>
      <c r="N6" s="4">
        <v>30.0</v>
      </c>
      <c r="O6" s="4">
        <v>2.727272</v>
      </c>
      <c r="P6" s="4">
        <v>-1.0</v>
      </c>
      <c r="Q6" s="9">
        <v>0</v>
      </c>
      <c r="R6" s="9">
        <v>0</v>
      </c>
      <c r="S6" s="9">
        <v>0</v>
      </c>
      <c r="T6" s="4">
        <v>1.25</v>
      </c>
      <c r="U6" s="14" t="s">
        <v>52</v>
      </c>
      <c r="V6" s="5">
        <v>248510.91</v>
      </c>
      <c r="W6" s="5">
        <v>8283.697</v>
      </c>
      <c r="X6" s="5">
        <v>321121.504</v>
      </c>
      <c r="Y6" s="5">
        <v>10704.050133333</v>
      </c>
      <c r="Z6" s="5">
        <v>72610.594</v>
      </c>
      <c r="AA6" s="5">
        <v>2420.3531333333</v>
      </c>
      <c r="AB6" s="13">
        <v>0.2261156387708</v>
      </c>
      <c r="AC6" s="4">
        <v>30.0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4">
        <v>-1.0</v>
      </c>
      <c r="AK6" s="9">
        <v>0</v>
      </c>
      <c r="AL6" s="9">
        <v>0</v>
      </c>
      <c r="AM6" s="9">
        <v>0</v>
      </c>
      <c r="AN6" s="3">
        <v>0</v>
      </c>
      <c r="AO6" s="9">
        <v>0</v>
      </c>
      <c r="AP6" s="9">
        <v>0</v>
      </c>
    </row>
    <row r="7" spans="1:42">
      <c r="A7" s="3">
        <v>5</v>
      </c>
      <c r="B7" s="3" t="s">
        <v>53</v>
      </c>
      <c r="C7" t="s">
        <v>54</v>
      </c>
      <c r="D7" s="3" t="s">
        <v>51</v>
      </c>
      <c r="E7" s="9">
        <v>0</v>
      </c>
      <c r="F7" s="9">
        <v>0</v>
      </c>
      <c r="G7" s="4">
        <v>50.0</v>
      </c>
      <c r="H7" s="5">
        <v>4078.0</v>
      </c>
      <c r="I7" s="9">
        <v>0</v>
      </c>
      <c r="J7" s="9">
        <v>0</v>
      </c>
      <c r="K7" s="4">
        <v>2.909088</v>
      </c>
      <c r="L7" s="5">
        <v>237.265217</v>
      </c>
      <c r="M7" s="6">
        <v>-16.187517187517</v>
      </c>
      <c r="N7" s="4">
        <v>2.0</v>
      </c>
      <c r="O7" s="4">
        <v>0.181818</v>
      </c>
      <c r="P7" s="4">
        <v>13.0</v>
      </c>
      <c r="Q7" s="4">
        <v>1.625</v>
      </c>
      <c r="R7" s="4">
        <v>31.0</v>
      </c>
      <c r="S7" s="5">
        <v>2528.36</v>
      </c>
      <c r="T7" s="4">
        <v>1.083333</v>
      </c>
      <c r="U7" s="12">
        <v>28.615393420121</v>
      </c>
      <c r="V7" s="5">
        <v>127.02</v>
      </c>
      <c r="W7" s="5">
        <v>63.51</v>
      </c>
      <c r="X7" s="5">
        <v>373.832</v>
      </c>
      <c r="Y7" s="5">
        <v>186.916</v>
      </c>
      <c r="Z7" s="5">
        <v>246.812</v>
      </c>
      <c r="AA7" s="5">
        <v>123.406</v>
      </c>
      <c r="AB7" s="8">
        <v>0.66022170386698</v>
      </c>
      <c r="AC7" s="4">
        <v>2.0</v>
      </c>
      <c r="AD7" s="9">
        <v>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4">
        <v>13.0</v>
      </c>
      <c r="AK7" s="9">
        <v>0</v>
      </c>
      <c r="AL7" s="9">
        <v>0</v>
      </c>
      <c r="AM7" s="9">
        <v>0</v>
      </c>
      <c r="AN7" s="3">
        <v>0</v>
      </c>
      <c r="AO7" s="9">
        <v>0</v>
      </c>
      <c r="AP7" s="9">
        <v>0</v>
      </c>
    </row>
    <row r="8" spans="1:42">
      <c r="A8" s="3">
        <v>6</v>
      </c>
      <c r="B8" s="3" t="s">
        <v>55</v>
      </c>
      <c r="C8" t="s">
        <v>56</v>
      </c>
      <c r="D8" s="3" t="s">
        <v>57</v>
      </c>
      <c r="E8" s="9">
        <v>0</v>
      </c>
      <c r="F8" s="9">
        <v>0</v>
      </c>
      <c r="G8" s="4">
        <v>5.0</v>
      </c>
      <c r="H8" s="5">
        <v>2913.395</v>
      </c>
      <c r="I8" s="9">
        <v>0</v>
      </c>
      <c r="J8" s="9">
        <v>0</v>
      </c>
      <c r="K8" s="4">
        <v>4.363632</v>
      </c>
      <c r="L8" s="5">
        <v>2542.59673</v>
      </c>
      <c r="M8" s="6">
        <v>-0.14583447916781</v>
      </c>
      <c r="N8" s="4">
        <v>3.0</v>
      </c>
      <c r="O8" s="4">
        <v>0.272727</v>
      </c>
      <c r="P8" s="4">
        <v>1.0</v>
      </c>
      <c r="Q8" s="4">
        <v>0.125</v>
      </c>
      <c r="R8" s="4">
        <v>5.0</v>
      </c>
      <c r="S8" s="5">
        <v>2913.395</v>
      </c>
      <c r="T8" s="4">
        <v>0.083333</v>
      </c>
      <c r="U8" s="12">
        <v>60.00024000096</v>
      </c>
      <c r="V8" s="5">
        <v>1003.89</v>
      </c>
      <c r="W8" s="5">
        <v>334.63</v>
      </c>
      <c r="X8" s="5">
        <v>1121.495</v>
      </c>
      <c r="Y8" s="5">
        <v>373.83166666667</v>
      </c>
      <c r="Z8" s="5">
        <v>117.605</v>
      </c>
      <c r="AA8" s="5">
        <v>39.201666666667</v>
      </c>
      <c r="AB8" s="13">
        <v>0.10486448891881</v>
      </c>
      <c r="AC8" s="4">
        <v>3.0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4">
        <v>1.0</v>
      </c>
      <c r="AK8" s="9">
        <v>0</v>
      </c>
      <c r="AL8" s="9">
        <v>0</v>
      </c>
      <c r="AM8" s="9">
        <v>0</v>
      </c>
      <c r="AN8" s="3">
        <v>0</v>
      </c>
      <c r="AO8" s="9">
        <v>0</v>
      </c>
      <c r="AP8" s="9">
        <v>0</v>
      </c>
    </row>
    <row r="9" spans="1:42">
      <c r="A9" s="3">
        <v>7</v>
      </c>
      <c r="B9" s="3" t="s">
        <v>58</v>
      </c>
      <c r="C9" t="s">
        <v>59</v>
      </c>
      <c r="D9" s="3" t="s">
        <v>51</v>
      </c>
      <c r="E9" s="9">
        <v>0</v>
      </c>
      <c r="F9" s="9">
        <v>0</v>
      </c>
      <c r="G9" s="4">
        <v>30.0</v>
      </c>
      <c r="H9" s="5">
        <v>2330.1</v>
      </c>
      <c r="I9" s="9">
        <v>0</v>
      </c>
      <c r="J9" s="9">
        <v>0</v>
      </c>
      <c r="K9" s="4">
        <v>26.181808</v>
      </c>
      <c r="L9" s="5">
        <v>2033.541027</v>
      </c>
      <c r="M9" s="6">
        <v>-0.14583377893536</v>
      </c>
      <c r="N9" s="4">
        <v>18.0</v>
      </c>
      <c r="O9" s="4">
        <v>1.636363</v>
      </c>
      <c r="P9" s="4">
        <v>23.0</v>
      </c>
      <c r="Q9" s="4">
        <v>2.875</v>
      </c>
      <c r="R9" s="4">
        <v>23.0</v>
      </c>
      <c r="S9" s="5">
        <v>1786.41</v>
      </c>
      <c r="T9" s="4">
        <v>2.75</v>
      </c>
      <c r="U9" s="12">
        <v>8.3636363636364</v>
      </c>
      <c r="V9" s="5">
        <v>1203.12</v>
      </c>
      <c r="W9" s="5">
        <v>66.84</v>
      </c>
      <c r="X9" s="5">
        <v>3807.572</v>
      </c>
      <c r="Y9" s="5">
        <v>211.53177777778</v>
      </c>
      <c r="Z9" s="5">
        <v>2604.452</v>
      </c>
      <c r="AA9" s="5">
        <v>144.69177777778</v>
      </c>
      <c r="AB9" s="8">
        <v>0.68401910718957</v>
      </c>
      <c r="AC9" s="4">
        <v>18.0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4">
        <v>23.0</v>
      </c>
      <c r="AK9" s="9">
        <v>0</v>
      </c>
      <c r="AL9" s="9">
        <v>0</v>
      </c>
      <c r="AM9" s="9">
        <v>0</v>
      </c>
      <c r="AN9" s="3">
        <v>0</v>
      </c>
      <c r="AO9" s="9">
        <v>0</v>
      </c>
      <c r="AP9" s="9">
        <v>0</v>
      </c>
    </row>
    <row r="10" spans="1:42">
      <c r="A10" s="3">
        <v>8</v>
      </c>
      <c r="B10" s="3" t="s">
        <v>60</v>
      </c>
      <c r="C10" t="s">
        <v>61</v>
      </c>
      <c r="D10" s="3" t="s">
        <v>57</v>
      </c>
      <c r="E10" s="9">
        <v>0</v>
      </c>
      <c r="F10" s="9">
        <v>0</v>
      </c>
      <c r="G10" s="4">
        <v>50.0</v>
      </c>
      <c r="H10" s="5">
        <v>2330.0</v>
      </c>
      <c r="I10" s="9">
        <v>0</v>
      </c>
      <c r="J10" s="9">
        <v>0</v>
      </c>
      <c r="K10" s="4">
        <v>5.818176</v>
      </c>
      <c r="L10" s="5">
        <v>271.127002</v>
      </c>
      <c r="M10" s="6">
        <v>-7.5937585937586</v>
      </c>
      <c r="N10" s="4">
        <v>4.0</v>
      </c>
      <c r="O10" s="4">
        <v>0.363636</v>
      </c>
      <c r="P10" s="9">
        <v>0</v>
      </c>
      <c r="Q10" s="9">
        <v>0</v>
      </c>
      <c r="R10" s="4">
        <v>82.0</v>
      </c>
      <c r="S10" s="5">
        <v>3821.2</v>
      </c>
      <c r="T10" s="9">
        <v>0</v>
      </c>
      <c r="U10" s="14" t="s">
        <v>52</v>
      </c>
      <c r="V10" s="5">
        <v>206.0</v>
      </c>
      <c r="W10" s="5">
        <v>51.5</v>
      </c>
      <c r="X10" s="5">
        <v>1308.412</v>
      </c>
      <c r="Y10" s="5">
        <v>327.103</v>
      </c>
      <c r="Z10" s="5">
        <v>1102.412</v>
      </c>
      <c r="AA10" s="5">
        <v>275.603</v>
      </c>
      <c r="AB10" s="8">
        <v>0.8425572373228</v>
      </c>
      <c r="AC10" s="4">
        <v>4.0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3">
        <v>0</v>
      </c>
      <c r="AO10" s="9">
        <v>0</v>
      </c>
      <c r="AP10" s="9">
        <v>0</v>
      </c>
    </row>
    <row r="11" spans="1:42">
      <c r="A11" s="3">
        <v>9</v>
      </c>
      <c r="B11" s="3" t="s">
        <v>62</v>
      </c>
      <c r="C11" t="s">
        <v>63</v>
      </c>
      <c r="D11" s="3" t="s">
        <v>51</v>
      </c>
      <c r="E11" s="9">
        <v>0</v>
      </c>
      <c r="F11" s="9">
        <v>0</v>
      </c>
      <c r="G11" s="4">
        <v>50.0</v>
      </c>
      <c r="H11" s="5">
        <v>1359.5</v>
      </c>
      <c r="I11" s="9">
        <v>0</v>
      </c>
      <c r="J11" s="9">
        <v>0</v>
      </c>
      <c r="K11" s="4">
        <v>32.0</v>
      </c>
      <c r="L11" s="5">
        <v>870.08</v>
      </c>
      <c r="M11" s="6">
        <v>-0.5625</v>
      </c>
      <c r="N11" s="4">
        <v>22.0</v>
      </c>
      <c r="O11" s="4">
        <v>2.0</v>
      </c>
      <c r="P11" s="4">
        <v>18.0</v>
      </c>
      <c r="Q11" s="4">
        <v>2.25</v>
      </c>
      <c r="R11" s="4">
        <v>33.0</v>
      </c>
      <c r="S11" s="5">
        <v>897.27</v>
      </c>
      <c r="T11" s="4">
        <v>2.083333</v>
      </c>
      <c r="U11" s="12">
        <v>15.8400025344</v>
      </c>
      <c r="V11" s="5">
        <v>1519.0</v>
      </c>
      <c r="W11" s="5">
        <v>69.045454545455</v>
      </c>
      <c r="X11" s="5">
        <v>794.394</v>
      </c>
      <c r="Y11" s="5">
        <v>36.108818181818</v>
      </c>
      <c r="Z11" s="5">
        <v>-724.606</v>
      </c>
      <c r="AA11" s="5">
        <v>-32.936636363636</v>
      </c>
      <c r="AB11" s="15">
        <v>-0.9121493868282</v>
      </c>
      <c r="AC11" s="4">
        <v>22.0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4">
        <v>18.0</v>
      </c>
      <c r="AK11" s="9">
        <v>0</v>
      </c>
      <c r="AL11" s="9">
        <v>0</v>
      </c>
      <c r="AM11" s="9">
        <v>0</v>
      </c>
      <c r="AN11" s="3">
        <v>0</v>
      </c>
      <c r="AO11" s="9">
        <v>0</v>
      </c>
      <c r="AP11" s="9">
        <v>0</v>
      </c>
    </row>
    <row r="12" spans="1:42">
      <c r="A12" s="3">
        <v>10</v>
      </c>
      <c r="B12" s="3" t="s">
        <v>64</v>
      </c>
      <c r="C12" t="s">
        <v>65</v>
      </c>
      <c r="D12" s="3" t="s">
        <v>57</v>
      </c>
      <c r="E12" s="9">
        <v>0</v>
      </c>
      <c r="F12" s="9">
        <v>0</v>
      </c>
      <c r="G12" s="4">
        <v>20.0</v>
      </c>
      <c r="H12" s="5">
        <v>776.8</v>
      </c>
      <c r="I12" s="9">
        <v>0</v>
      </c>
      <c r="J12" s="9">
        <v>0</v>
      </c>
      <c r="K12" s="4">
        <v>5.818176</v>
      </c>
      <c r="L12" s="5">
        <v>225.977956</v>
      </c>
      <c r="M12" s="6">
        <v>-2.4375034375034</v>
      </c>
      <c r="N12" s="4">
        <v>4.0</v>
      </c>
      <c r="O12" s="4">
        <v>0.363636</v>
      </c>
      <c r="P12" s="9">
        <v>0</v>
      </c>
      <c r="Q12" s="9">
        <v>0</v>
      </c>
      <c r="R12" s="4">
        <v>21.0</v>
      </c>
      <c r="S12" s="5">
        <v>815.64</v>
      </c>
      <c r="T12" s="9">
        <v>0</v>
      </c>
      <c r="U12" s="14" t="s">
        <v>52</v>
      </c>
      <c r="V12" s="5">
        <v>191.58</v>
      </c>
      <c r="W12" s="5">
        <v>47.895</v>
      </c>
      <c r="X12" s="5">
        <v>1261.681</v>
      </c>
      <c r="Y12" s="5">
        <v>315.42025</v>
      </c>
      <c r="Z12" s="5">
        <v>1070.101</v>
      </c>
      <c r="AA12" s="5">
        <v>267.52525</v>
      </c>
      <c r="AB12" s="8">
        <v>0.84815496151563</v>
      </c>
      <c r="AC12" s="4">
        <v>4.0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3">
        <v>0</v>
      </c>
      <c r="AO12" s="9">
        <v>0</v>
      </c>
      <c r="AP12" s="9">
        <v>0</v>
      </c>
    </row>
    <row r="13" spans="1:42">
      <c r="A13" s="3">
        <v>11</v>
      </c>
      <c r="B13" s="3" t="s">
        <v>66</v>
      </c>
      <c r="C13" t="s">
        <v>67</v>
      </c>
      <c r="D13" s="3" t="s">
        <v>68</v>
      </c>
      <c r="E13" s="9">
        <v>0</v>
      </c>
      <c r="F13" s="9">
        <v>0</v>
      </c>
      <c r="G13" s="4">
        <v>10.0</v>
      </c>
      <c r="H13" s="9">
        <v>0</v>
      </c>
      <c r="I13" s="4">
        <v>20.0</v>
      </c>
      <c r="J13" s="9">
        <v>0</v>
      </c>
      <c r="K13" s="4">
        <v>55.27272</v>
      </c>
      <c r="L13" s="5">
        <v>721.861723</v>
      </c>
      <c r="M13" s="11">
        <v>0.81907892356302</v>
      </c>
      <c r="N13" s="4">
        <v>38.0</v>
      </c>
      <c r="O13" s="4">
        <v>3.454545</v>
      </c>
      <c r="P13" s="4">
        <v>8.0</v>
      </c>
      <c r="Q13" s="4">
        <v>1.0</v>
      </c>
      <c r="R13" s="4">
        <v>5.0</v>
      </c>
      <c r="S13" s="5">
        <v>65.3</v>
      </c>
      <c r="T13" s="4">
        <v>1.0</v>
      </c>
      <c r="U13" s="7">
        <v>5.0</v>
      </c>
      <c r="V13" s="5">
        <v>496.28</v>
      </c>
      <c r="W13" s="5">
        <v>13.06</v>
      </c>
      <c r="X13" s="5">
        <v>1803.776</v>
      </c>
      <c r="Y13" s="5">
        <v>47.467789473684</v>
      </c>
      <c r="Z13" s="5">
        <v>1307.496</v>
      </c>
      <c r="AA13" s="5">
        <v>34.407789473684</v>
      </c>
      <c r="AB13" s="8">
        <v>0.72486605875674</v>
      </c>
      <c r="AC13" s="4">
        <v>38.0</v>
      </c>
      <c r="AD13" s="4">
        <v>9.0</v>
      </c>
      <c r="AE13" s="4">
        <v>13.0</v>
      </c>
      <c r="AF13" s="9">
        <v>0</v>
      </c>
      <c r="AG13" s="10">
        <v>0.34210526315789</v>
      </c>
      <c r="AH13" s="9">
        <v>0</v>
      </c>
      <c r="AI13" s="9">
        <v>0</v>
      </c>
      <c r="AJ13" s="4">
        <v>8.0</v>
      </c>
      <c r="AK13" s="9">
        <v>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69</v>
      </c>
      <c r="C14" t="s">
        <v>70</v>
      </c>
      <c r="D14" s="3" t="s">
        <v>71</v>
      </c>
      <c r="E14" s="9">
        <v>0</v>
      </c>
      <c r="F14" s="9">
        <v>0</v>
      </c>
      <c r="G14" s="9">
        <v>0</v>
      </c>
      <c r="H14" s="9">
        <v>0</v>
      </c>
      <c r="I14" s="4">
        <v>1000.0</v>
      </c>
      <c r="J14" s="5">
        <v>184790.0</v>
      </c>
      <c r="K14" s="4">
        <v>17.454544</v>
      </c>
      <c r="L14" s="5">
        <v>3225.425186</v>
      </c>
      <c r="M14" s="11">
        <v>1.0</v>
      </c>
      <c r="N14" s="4">
        <v>12.0</v>
      </c>
      <c r="O14" s="4">
        <v>1.090909</v>
      </c>
      <c r="P14" s="4">
        <v>27.0</v>
      </c>
      <c r="Q14" s="4">
        <v>3.375</v>
      </c>
      <c r="R14" s="4">
        <v>506.0</v>
      </c>
      <c r="S14" s="5">
        <v>93503.74</v>
      </c>
      <c r="T14" s="4">
        <v>3.25</v>
      </c>
      <c r="U14" s="12">
        <v>155.69230769231</v>
      </c>
      <c r="V14" s="5">
        <v>2286.24</v>
      </c>
      <c r="W14" s="5">
        <v>190.52</v>
      </c>
      <c r="X14" s="5">
        <v>6201.864</v>
      </c>
      <c r="Y14" s="5">
        <v>516.822</v>
      </c>
      <c r="Z14" s="5">
        <v>3915.624</v>
      </c>
      <c r="AA14" s="5">
        <v>326.302</v>
      </c>
      <c r="AB14" s="8">
        <v>0.63136244200131</v>
      </c>
      <c r="AC14" s="4">
        <v>12.0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4">
        <v>27.0</v>
      </c>
      <c r="AK14" s="9">
        <v>0</v>
      </c>
      <c r="AL14" s="9">
        <v>0</v>
      </c>
      <c r="AM14" s="9">
        <v>0</v>
      </c>
      <c r="AN14" s="3">
        <v>0</v>
      </c>
      <c r="AO14" s="9">
        <v>0</v>
      </c>
      <c r="AP14" s="9">
        <v>0</v>
      </c>
    </row>
    <row r="15" spans="1:42">
      <c r="A15" s="3">
        <v>13</v>
      </c>
      <c r="B15" s="3" t="s">
        <v>72</v>
      </c>
      <c r="C15" t="s">
        <v>73</v>
      </c>
      <c r="D15" s="3" t="s">
        <v>68</v>
      </c>
      <c r="E15" s="4">
        <v>50.0</v>
      </c>
      <c r="F15" s="5">
        <v>168975.05</v>
      </c>
      <c r="G15" s="9">
        <v>0</v>
      </c>
      <c r="H15" s="9">
        <v>0</v>
      </c>
      <c r="I15" s="9">
        <v>0</v>
      </c>
      <c r="J15" s="9">
        <v>0</v>
      </c>
      <c r="K15" s="4">
        <v>2.909088</v>
      </c>
      <c r="L15" s="5">
        <v>9831.265805</v>
      </c>
      <c r="M15" s="11">
        <v>1.0</v>
      </c>
      <c r="N15" s="4">
        <v>1.0</v>
      </c>
      <c r="O15" s="4">
        <v>0.181818</v>
      </c>
      <c r="P15" s="4">
        <v>-1.0</v>
      </c>
      <c r="Q15" s="9">
        <v>0</v>
      </c>
      <c r="R15" s="9">
        <v>0</v>
      </c>
      <c r="S15" s="9">
        <v>0</v>
      </c>
      <c r="T15" s="4">
        <v>-0.083333</v>
      </c>
      <c r="U15" s="14" t="s">
        <v>52</v>
      </c>
      <c r="V15" s="5">
        <v>2642.95</v>
      </c>
      <c r="W15" s="5">
        <v>2642.95</v>
      </c>
      <c r="X15" s="5">
        <v>4999.067</v>
      </c>
      <c r="Y15" s="5">
        <v>4999.067</v>
      </c>
      <c r="Z15" s="5">
        <v>2356.117</v>
      </c>
      <c r="AA15" s="5">
        <v>2356.117</v>
      </c>
      <c r="AB15" s="8">
        <v>0.47131134669729</v>
      </c>
      <c r="AC15" s="4">
        <v>1.0</v>
      </c>
      <c r="AD15" s="9">
        <v>0</v>
      </c>
      <c r="AE15" s="4">
        <v>1.0</v>
      </c>
      <c r="AF15" s="9">
        <v>0</v>
      </c>
      <c r="AG15" s="10">
        <v>1.0</v>
      </c>
      <c r="AH15" s="4">
        <v>1.0</v>
      </c>
      <c r="AI15" s="5">
        <v>3379.501</v>
      </c>
      <c r="AJ15" s="4">
        <v>-1.0</v>
      </c>
      <c r="AK15" s="4">
        <v>1.0</v>
      </c>
      <c r="AL15" s="9">
        <v>0</v>
      </c>
      <c r="AM15" s="9">
        <v>0</v>
      </c>
      <c r="AN15" s="3">
        <v>0</v>
      </c>
      <c r="AO15" s="4">
        <v>1.0</v>
      </c>
      <c r="AP15" s="5">
        <v>3379.501</v>
      </c>
    </row>
    <row r="16" spans="1:42">
      <c r="A16" s="3">
        <v>14</v>
      </c>
      <c r="B16" s="3" t="s">
        <v>74</v>
      </c>
      <c r="C16" t="s">
        <v>75</v>
      </c>
      <c r="D16" s="3" t="s">
        <v>51</v>
      </c>
      <c r="E16" s="9">
        <v>0</v>
      </c>
      <c r="F16" s="9">
        <v>0</v>
      </c>
      <c r="G16" s="9">
        <v>0</v>
      </c>
      <c r="H16" s="9">
        <v>0</v>
      </c>
      <c r="I16" s="4">
        <v>99.0</v>
      </c>
      <c r="J16" s="5">
        <v>284290.38</v>
      </c>
      <c r="K16" s="9">
        <v>0</v>
      </c>
      <c r="L16" s="9">
        <v>0</v>
      </c>
      <c r="M16" s="16">
        <v>0</v>
      </c>
      <c r="N16" s="9">
        <v>0</v>
      </c>
      <c r="O16" s="9">
        <v>0</v>
      </c>
      <c r="P16" s="4">
        <v>35.0</v>
      </c>
      <c r="Q16" s="4">
        <v>4.375</v>
      </c>
      <c r="R16" s="4">
        <v>62.0</v>
      </c>
      <c r="S16" s="5">
        <v>178040.44</v>
      </c>
      <c r="T16" s="4">
        <v>2.916666</v>
      </c>
      <c r="U16" s="12">
        <v>21.257147715919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3">
        <v>0</v>
      </c>
      <c r="AC16" s="9">
        <v>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4">
        <v>35.0</v>
      </c>
      <c r="AK16" s="9">
        <v>0</v>
      </c>
      <c r="AL16" s="9">
        <v>0</v>
      </c>
      <c r="AM16" s="9">
        <v>0</v>
      </c>
      <c r="AN16" s="3">
        <v>0</v>
      </c>
      <c r="AO16" s="9">
        <v>0</v>
      </c>
      <c r="AP16" s="9">
        <v>0</v>
      </c>
    </row>
    <row r="17" spans="1:42">
      <c r="A17" s="3">
        <v>15</v>
      </c>
      <c r="B17" s="3" t="s">
        <v>76</v>
      </c>
      <c r="C17" t="s">
        <v>77</v>
      </c>
      <c r="D17" s="3" t="s">
        <v>78</v>
      </c>
      <c r="E17" s="9">
        <v>0</v>
      </c>
      <c r="F17" s="9">
        <v>0</v>
      </c>
      <c r="G17" s="9">
        <v>0</v>
      </c>
      <c r="H17" s="9">
        <v>0</v>
      </c>
      <c r="I17" s="4">
        <v>300.0</v>
      </c>
      <c r="J17" s="5">
        <v>840024.0</v>
      </c>
      <c r="K17" s="9">
        <v>0</v>
      </c>
      <c r="L17" s="9">
        <v>0</v>
      </c>
      <c r="M17" s="16">
        <v>0</v>
      </c>
      <c r="N17" s="9">
        <v>0</v>
      </c>
      <c r="O17" s="9">
        <v>0</v>
      </c>
      <c r="P17" s="4">
        <v>246.0</v>
      </c>
      <c r="Q17" s="4">
        <v>31.625</v>
      </c>
      <c r="R17" s="4">
        <v>45.0</v>
      </c>
      <c r="S17" s="5">
        <v>126003.6</v>
      </c>
      <c r="T17" s="4">
        <v>20.5</v>
      </c>
      <c r="U17" s="17">
        <v>2.1951219512195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3">
        <v>0</v>
      </c>
      <c r="AC17" s="9">
        <v>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4">
        <v>246.0</v>
      </c>
      <c r="AK17" s="9">
        <v>0</v>
      </c>
      <c r="AL17" s="9">
        <v>0</v>
      </c>
      <c r="AM17" s="9">
        <v>0</v>
      </c>
      <c r="AN17" s="3">
        <v>0</v>
      </c>
      <c r="AO17" s="9">
        <v>0</v>
      </c>
      <c r="AP17" s="9">
        <v>0</v>
      </c>
    </row>
    <row r="18" spans="1:42">
      <c r="A18" s="3">
        <v>16</v>
      </c>
      <c r="B18" s="3" t="s">
        <v>79</v>
      </c>
      <c r="C18" t="s">
        <v>80</v>
      </c>
      <c r="D18" s="3" t="s">
        <v>78</v>
      </c>
      <c r="E18" s="9">
        <v>0</v>
      </c>
      <c r="F18" s="9">
        <v>0</v>
      </c>
      <c r="G18" s="9">
        <v>0</v>
      </c>
      <c r="H18" s="9">
        <v>0</v>
      </c>
      <c r="I18" s="4">
        <v>160.0</v>
      </c>
      <c r="J18" s="5">
        <v>448011.84</v>
      </c>
      <c r="K18" s="9">
        <v>0</v>
      </c>
      <c r="L18" s="9">
        <v>0</v>
      </c>
      <c r="M18" s="16">
        <v>0</v>
      </c>
      <c r="N18" s="9">
        <v>0</v>
      </c>
      <c r="O18" s="9">
        <v>0</v>
      </c>
      <c r="P18" s="4">
        <v>2.0</v>
      </c>
      <c r="Q18" s="4">
        <v>0.25</v>
      </c>
      <c r="R18" s="4">
        <v>157.0</v>
      </c>
      <c r="S18" s="5">
        <v>439611.618</v>
      </c>
      <c r="T18" s="4">
        <v>0.166666</v>
      </c>
      <c r="U18" s="12">
        <v>942.00376801507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3">
        <v>0</v>
      </c>
      <c r="AC18" s="9">
        <v>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4">
        <v>2.0</v>
      </c>
      <c r="AK18" s="9">
        <v>0</v>
      </c>
      <c r="AL18" s="9">
        <v>0</v>
      </c>
      <c r="AM18" s="9">
        <v>0</v>
      </c>
      <c r="AN18" s="3">
        <v>0</v>
      </c>
      <c r="AO18" s="9">
        <v>0</v>
      </c>
      <c r="AP18" s="9">
        <v>0</v>
      </c>
    </row>
    <row r="19" spans="1:42">
      <c r="A19" s="3">
        <v>17</v>
      </c>
      <c r="B19" s="3" t="s">
        <v>81</v>
      </c>
      <c r="C19" t="s">
        <v>82</v>
      </c>
      <c r="D19" s="3" t="s">
        <v>68</v>
      </c>
      <c r="E19" s="9">
        <v>0</v>
      </c>
      <c r="F19" s="9">
        <v>0</v>
      </c>
      <c r="G19" s="9">
        <v>0</v>
      </c>
      <c r="H19" s="9">
        <v>0</v>
      </c>
      <c r="I19" s="4">
        <v>50.0</v>
      </c>
      <c r="J19" s="9">
        <v>0</v>
      </c>
      <c r="K19" s="9">
        <v>0</v>
      </c>
      <c r="L19" s="9">
        <v>0</v>
      </c>
      <c r="M19" s="16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14" t="s">
        <v>52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3">
        <v>0</v>
      </c>
      <c r="AC19" s="9">
        <v>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3">
        <v>0</v>
      </c>
      <c r="AO19" s="9">
        <v>0</v>
      </c>
      <c r="AP19" s="9">
        <v>0</v>
      </c>
    </row>
    <row r="20" spans="1:42">
      <c r="A20" s="3">
        <v>18</v>
      </c>
      <c r="B20" s="3" t="s">
        <v>83</v>
      </c>
      <c r="C20" t="s">
        <v>84</v>
      </c>
      <c r="D20" s="3" t="s">
        <v>51</v>
      </c>
      <c r="E20" s="4">
        <v>5.0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4">
        <v>2.909088</v>
      </c>
      <c r="L20" s="9">
        <v>0</v>
      </c>
      <c r="M20" s="11">
        <v>1.0</v>
      </c>
      <c r="N20" s="4">
        <v>2.0</v>
      </c>
      <c r="O20" s="4">
        <v>0.181818</v>
      </c>
      <c r="P20" s="4">
        <v>3.0</v>
      </c>
      <c r="Q20" s="4">
        <v>0.375</v>
      </c>
      <c r="R20" s="9">
        <v>0</v>
      </c>
      <c r="S20" s="9">
        <v>0</v>
      </c>
      <c r="T20" s="4">
        <v>0.333333</v>
      </c>
      <c r="U20" s="14" t="s">
        <v>52</v>
      </c>
      <c r="V20" s="9">
        <v>0</v>
      </c>
      <c r="W20" s="5">
        <v>0.0</v>
      </c>
      <c r="X20" s="9">
        <v>0</v>
      </c>
      <c r="Y20" s="5">
        <v>0.0</v>
      </c>
      <c r="Z20" s="9">
        <v>0</v>
      </c>
      <c r="AA20" s="5">
        <v>0.0</v>
      </c>
      <c r="AB20" s="3">
        <v>0</v>
      </c>
      <c r="AC20" s="4">
        <v>2.0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4">
        <v>3.0</v>
      </c>
      <c r="AK20" s="9">
        <v>0</v>
      </c>
      <c r="AL20" s="9">
        <v>0</v>
      </c>
      <c r="AM20" s="9">
        <v>0</v>
      </c>
      <c r="AN20" s="3">
        <v>0</v>
      </c>
      <c r="AO20" s="9">
        <v>0</v>
      </c>
      <c r="AP20" s="9">
        <v>0</v>
      </c>
    </row>
    <row r="21" spans="1:42">
      <c r="A21" s="3">
        <v>19</v>
      </c>
      <c r="B21" s="3" t="s">
        <v>85</v>
      </c>
      <c r="C21" t="s">
        <v>86</v>
      </c>
      <c r="D21" s="3" t="s">
        <v>51</v>
      </c>
      <c r="E21" s="4">
        <v>4.0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16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14" t="s">
        <v>52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3">
        <v>0</v>
      </c>
      <c r="AC21" s="9">
        <v>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3">
        <v>0</v>
      </c>
      <c r="AO21" s="9">
        <v>0</v>
      </c>
      <c r="AP21" s="9">
        <v>0</v>
      </c>
    </row>
    <row r="22" spans="1:42">
      <c r="A22" s="3">
        <v>20</v>
      </c>
      <c r="B22" s="3" t="s">
        <v>87</v>
      </c>
      <c r="C22" t="s">
        <v>88</v>
      </c>
      <c r="D22" s="3" t="s">
        <v>51</v>
      </c>
      <c r="E22" s="4">
        <v>10.0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4">
        <v>7.27272</v>
      </c>
      <c r="L22" s="9">
        <v>0</v>
      </c>
      <c r="M22" s="11">
        <v>1.0</v>
      </c>
      <c r="N22" s="4">
        <v>5.0</v>
      </c>
      <c r="O22" s="4">
        <v>0.454545</v>
      </c>
      <c r="P22" s="4">
        <v>3.0</v>
      </c>
      <c r="Q22" s="4">
        <v>0.375</v>
      </c>
      <c r="R22" s="9">
        <v>0</v>
      </c>
      <c r="S22" s="9">
        <v>0</v>
      </c>
      <c r="T22" s="4">
        <v>0.25</v>
      </c>
      <c r="U22" s="14" t="s">
        <v>52</v>
      </c>
      <c r="V22" s="9">
        <v>0</v>
      </c>
      <c r="W22" s="5">
        <v>0.0</v>
      </c>
      <c r="X22" s="5">
        <v>700.935</v>
      </c>
      <c r="Y22" s="5">
        <v>140.187</v>
      </c>
      <c r="Z22" s="5">
        <v>700.935</v>
      </c>
      <c r="AA22" s="5">
        <v>140.187</v>
      </c>
      <c r="AB22" s="8">
        <v>1.0</v>
      </c>
      <c r="AC22" s="4">
        <v>5.0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4">
        <v>3.0</v>
      </c>
      <c r="AK22" s="9">
        <v>0</v>
      </c>
      <c r="AL22" s="9">
        <v>0</v>
      </c>
      <c r="AM22" s="9">
        <v>0</v>
      </c>
      <c r="AN22" s="3">
        <v>0</v>
      </c>
      <c r="AO22" s="9">
        <v>0</v>
      </c>
      <c r="AP22" s="9">
        <v>0</v>
      </c>
    </row>
    <row r="23" spans="1:42">
      <c r="A23" s="3">
        <v>21</v>
      </c>
      <c r="B23" s="3" t="s">
        <v>89</v>
      </c>
      <c r="C23" t="s">
        <v>90</v>
      </c>
      <c r="D23" s="3" t="s">
        <v>51</v>
      </c>
      <c r="E23" s="4">
        <v>5.0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16">
        <v>0</v>
      </c>
      <c r="N23" s="9">
        <v>0</v>
      </c>
      <c r="O23" s="9">
        <v>0</v>
      </c>
      <c r="P23" s="4">
        <v>3.0</v>
      </c>
      <c r="Q23" s="4">
        <v>0.375</v>
      </c>
      <c r="R23" s="9">
        <v>0</v>
      </c>
      <c r="S23" s="9">
        <v>0</v>
      </c>
      <c r="T23" s="4">
        <v>0.25</v>
      </c>
      <c r="U23" s="14" t="s">
        <v>52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3">
        <v>0</v>
      </c>
      <c r="AC23" s="9">
        <v>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4">
        <v>3.0</v>
      </c>
      <c r="AK23" s="9">
        <v>0</v>
      </c>
      <c r="AL23" s="9">
        <v>0</v>
      </c>
      <c r="AM23" s="9">
        <v>0</v>
      </c>
      <c r="AN23" s="3">
        <v>0</v>
      </c>
      <c r="AO23" s="9">
        <v>0</v>
      </c>
      <c r="AP23" s="9">
        <v>0</v>
      </c>
    </row>
    <row r="24" spans="1:42">
      <c r="A24" s="3">
        <v>22</v>
      </c>
      <c r="B24" s="3" t="s">
        <v>91</v>
      </c>
      <c r="C24" t="s">
        <v>92</v>
      </c>
      <c r="D24" s="3" t="s">
        <v>51</v>
      </c>
      <c r="E24" s="4">
        <v>10.0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16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14" t="s">
        <v>52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3">
        <v>0</v>
      </c>
      <c r="AC24" s="9">
        <v>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3">
        <v>0</v>
      </c>
      <c r="AO24" s="9">
        <v>0</v>
      </c>
      <c r="AP24" s="9">
        <v>0</v>
      </c>
    </row>
    <row r="25" spans="1:42">
      <c r="A25" s="3">
        <v>23</v>
      </c>
      <c r="B25" s="3" t="s">
        <v>93</v>
      </c>
      <c r="C25" t="s">
        <v>94</v>
      </c>
      <c r="D25" s="3" t="s">
        <v>51</v>
      </c>
      <c r="E25" s="4">
        <v>10.0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16">
        <v>0</v>
      </c>
      <c r="N25" s="9">
        <v>0</v>
      </c>
      <c r="O25" s="9">
        <v>0</v>
      </c>
      <c r="P25" s="4">
        <v>2.0</v>
      </c>
      <c r="Q25" s="4">
        <v>0.25</v>
      </c>
      <c r="R25" s="9">
        <v>0</v>
      </c>
      <c r="S25" s="9">
        <v>0</v>
      </c>
      <c r="T25" s="4">
        <v>0.166666</v>
      </c>
      <c r="U25" s="14" t="s">
        <v>52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3">
        <v>0</v>
      </c>
      <c r="AC25" s="9">
        <v>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4">
        <v>2.0</v>
      </c>
      <c r="AK25" s="9">
        <v>0</v>
      </c>
      <c r="AL25" s="9">
        <v>0</v>
      </c>
      <c r="AM25" s="9">
        <v>0</v>
      </c>
      <c r="AN25" s="3">
        <v>0</v>
      </c>
      <c r="AO25" s="9">
        <v>0</v>
      </c>
      <c r="AP25" s="9">
        <v>0</v>
      </c>
    </row>
    <row r="26" spans="1:42">
      <c r="A26" s="3">
        <v>24</v>
      </c>
      <c r="B26" s="3" t="s">
        <v>95</v>
      </c>
      <c r="C26" t="s">
        <v>96</v>
      </c>
      <c r="D26" s="3" t="s">
        <v>51</v>
      </c>
      <c r="E26" s="4">
        <v>10.0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16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14" t="s">
        <v>52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3">
        <v>0</v>
      </c>
      <c r="AC26" s="9">
        <v>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3">
        <v>0</v>
      </c>
      <c r="AO26" s="9">
        <v>0</v>
      </c>
      <c r="AP26" s="9">
        <v>0</v>
      </c>
    </row>
    <row r="27" spans="1:42">
      <c r="A27" s="3">
        <v>25</v>
      </c>
      <c r="B27" s="3" t="s">
        <v>97</v>
      </c>
      <c r="C27" t="s">
        <v>98</v>
      </c>
      <c r="D27" s="3" t="s">
        <v>51</v>
      </c>
      <c r="E27" s="4">
        <v>5.0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4">
        <v>5.818176</v>
      </c>
      <c r="L27" s="9">
        <v>0</v>
      </c>
      <c r="M27" s="11">
        <v>1.0</v>
      </c>
      <c r="N27" s="4">
        <v>4.0</v>
      </c>
      <c r="O27" s="4">
        <v>0.363636</v>
      </c>
      <c r="P27" s="4">
        <v>1.0</v>
      </c>
      <c r="Q27" s="4">
        <v>0.125</v>
      </c>
      <c r="R27" s="9">
        <v>0</v>
      </c>
      <c r="S27" s="9">
        <v>0</v>
      </c>
      <c r="T27" s="4">
        <v>0.083333</v>
      </c>
      <c r="U27" s="14" t="s">
        <v>52</v>
      </c>
      <c r="V27" s="9">
        <v>0</v>
      </c>
      <c r="W27" s="5">
        <v>0.0</v>
      </c>
      <c r="X27" s="5">
        <v>981.309</v>
      </c>
      <c r="Y27" s="5">
        <v>245.32725</v>
      </c>
      <c r="Z27" s="5">
        <v>981.309</v>
      </c>
      <c r="AA27" s="5">
        <v>245.32725</v>
      </c>
      <c r="AB27" s="8">
        <v>1.0</v>
      </c>
      <c r="AC27" s="4">
        <v>4.0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4">
        <v>1.0</v>
      </c>
      <c r="AK27" s="9">
        <v>0</v>
      </c>
      <c r="AL27" s="9">
        <v>0</v>
      </c>
      <c r="AM27" s="9">
        <v>0</v>
      </c>
      <c r="AN27" s="3">
        <v>0</v>
      </c>
      <c r="AO27" s="9">
        <v>0</v>
      </c>
      <c r="AP27" s="9">
        <v>0</v>
      </c>
    </row>
    <row r="28" spans="1:42">
      <c r="A28" s="3">
        <v>26</v>
      </c>
      <c r="B28" s="3" t="s">
        <v>99</v>
      </c>
      <c r="C28" t="s">
        <v>100</v>
      </c>
      <c r="D28" s="3" t="s">
        <v>51</v>
      </c>
      <c r="E28" s="4">
        <v>8.0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16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14" t="s">
        <v>52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3">
        <v>0</v>
      </c>
      <c r="AC28" s="9">
        <v>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3">
        <v>0</v>
      </c>
      <c r="AO28" s="9">
        <v>0</v>
      </c>
      <c r="AP28" s="9">
        <v>0</v>
      </c>
    </row>
    <row r="29" spans="1:42">
      <c r="A29" s="3">
        <v>27</v>
      </c>
      <c r="B29" s="3" t="s">
        <v>101</v>
      </c>
      <c r="C29" t="s">
        <v>102</v>
      </c>
      <c r="D29" s="3" t="s">
        <v>51</v>
      </c>
      <c r="E29" s="4">
        <v>8.0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4">
        <v>4.363632</v>
      </c>
      <c r="L29" s="9">
        <v>0</v>
      </c>
      <c r="M29" s="11">
        <v>1.0</v>
      </c>
      <c r="N29" s="4">
        <v>3.0</v>
      </c>
      <c r="O29" s="4">
        <v>0.272727</v>
      </c>
      <c r="P29" s="4">
        <v>1.0</v>
      </c>
      <c r="Q29" s="4">
        <v>0.125</v>
      </c>
      <c r="R29" s="9">
        <v>0</v>
      </c>
      <c r="S29" s="9">
        <v>0</v>
      </c>
      <c r="T29" s="4">
        <v>0.083333</v>
      </c>
      <c r="U29" s="14" t="s">
        <v>52</v>
      </c>
      <c r="V29" s="9">
        <v>0</v>
      </c>
      <c r="W29" s="5">
        <v>0.0</v>
      </c>
      <c r="X29" s="9">
        <v>0</v>
      </c>
      <c r="Y29" s="5">
        <v>0.0</v>
      </c>
      <c r="Z29" s="9">
        <v>0</v>
      </c>
      <c r="AA29" s="5">
        <v>0.0</v>
      </c>
      <c r="AB29" s="3">
        <v>0</v>
      </c>
      <c r="AC29" s="4">
        <v>3.0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4">
        <v>1.0</v>
      </c>
      <c r="AK29" s="9">
        <v>0</v>
      </c>
      <c r="AL29" s="9">
        <v>0</v>
      </c>
      <c r="AM29" s="9">
        <v>0</v>
      </c>
      <c r="AN29" s="3">
        <v>0</v>
      </c>
      <c r="AO29" s="9">
        <v>0</v>
      </c>
      <c r="AP29" s="9">
        <v>0</v>
      </c>
    </row>
    <row r="30" spans="1:42">
      <c r="A30" s="3">
        <v>28</v>
      </c>
      <c r="B30" s="3" t="s">
        <v>103</v>
      </c>
      <c r="C30" t="s">
        <v>104</v>
      </c>
      <c r="D30" s="3" t="s">
        <v>51</v>
      </c>
      <c r="E30" s="9">
        <v>0</v>
      </c>
      <c r="F30" s="9">
        <v>0</v>
      </c>
      <c r="G30" s="9">
        <v>0</v>
      </c>
      <c r="H30" s="9">
        <v>0</v>
      </c>
      <c r="I30" s="4">
        <v>30.0</v>
      </c>
      <c r="J30" s="5">
        <v>46011.9</v>
      </c>
      <c r="K30" s="9">
        <v>0</v>
      </c>
      <c r="L30" s="9">
        <v>0</v>
      </c>
      <c r="M30" s="16">
        <v>0</v>
      </c>
      <c r="N30" s="9">
        <v>0</v>
      </c>
      <c r="O30" s="9">
        <v>0</v>
      </c>
      <c r="P30" s="4">
        <v>15.0</v>
      </c>
      <c r="Q30" s="4">
        <v>1.875</v>
      </c>
      <c r="R30" s="4">
        <v>7.0</v>
      </c>
      <c r="S30" s="5">
        <v>10736.11</v>
      </c>
      <c r="T30" s="4">
        <v>1.25</v>
      </c>
      <c r="U30" s="7">
        <v>5.6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3">
        <v>0</v>
      </c>
      <c r="AC30" s="9">
        <v>0</v>
      </c>
      <c r="AD30" s="9">
        <v>0</v>
      </c>
      <c r="AE30" s="9">
        <v>0</v>
      </c>
      <c r="AF30" s="9">
        <v>0</v>
      </c>
      <c r="AG30" s="3">
        <v>0</v>
      </c>
      <c r="AH30" s="4">
        <v>1.0</v>
      </c>
      <c r="AI30" s="5">
        <v>1533.73</v>
      </c>
      <c r="AJ30" s="4">
        <v>15.0</v>
      </c>
      <c r="AK30" s="9">
        <v>0</v>
      </c>
      <c r="AL30" s="9">
        <v>0</v>
      </c>
      <c r="AM30" s="9">
        <v>0</v>
      </c>
      <c r="AN30" s="3">
        <v>0</v>
      </c>
      <c r="AO30" s="4">
        <v>1.0</v>
      </c>
      <c r="AP30" s="5">
        <v>1533.73</v>
      </c>
    </row>
    <row r="31" spans="1:42">
      <c r="A31" s="3">
        <v>29</v>
      </c>
      <c r="B31" s="3" t="s">
        <v>105</v>
      </c>
      <c r="C31" t="s">
        <v>106</v>
      </c>
      <c r="D31" s="3" t="s">
        <v>51</v>
      </c>
      <c r="E31" s="9">
        <v>0</v>
      </c>
      <c r="F31" s="9">
        <v>0</v>
      </c>
      <c r="G31" s="9">
        <v>0</v>
      </c>
      <c r="H31" s="9">
        <v>0</v>
      </c>
      <c r="I31" s="4">
        <v>20.0</v>
      </c>
      <c r="J31" s="5">
        <v>1108.8</v>
      </c>
      <c r="K31" s="9">
        <v>0</v>
      </c>
      <c r="L31" s="9">
        <v>0</v>
      </c>
      <c r="M31" s="16">
        <v>0</v>
      </c>
      <c r="N31" s="9">
        <v>0</v>
      </c>
      <c r="O31" s="9">
        <v>0</v>
      </c>
      <c r="P31" s="9">
        <v>0</v>
      </c>
      <c r="Q31" s="9">
        <v>0</v>
      </c>
      <c r="R31" s="4">
        <v>19.0</v>
      </c>
      <c r="S31" s="5">
        <v>1053.36</v>
      </c>
      <c r="T31" s="9">
        <v>0</v>
      </c>
      <c r="U31" s="14" t="s">
        <v>52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3">
        <v>0</v>
      </c>
      <c r="AC31" s="9">
        <v>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3">
        <v>0</v>
      </c>
      <c r="AO31" s="9">
        <v>0</v>
      </c>
      <c r="AP31" s="9">
        <v>0</v>
      </c>
    </row>
    <row r="32" spans="1:42">
      <c r="A32" s="3">
        <v>30</v>
      </c>
      <c r="B32" s="3" t="s">
        <v>107</v>
      </c>
      <c r="C32" t="s">
        <v>108</v>
      </c>
      <c r="D32" s="3" t="s">
        <v>51</v>
      </c>
      <c r="E32" s="9">
        <v>0</v>
      </c>
      <c r="F32" s="9">
        <v>0</v>
      </c>
      <c r="G32" s="9">
        <v>0</v>
      </c>
      <c r="H32" s="9">
        <v>0</v>
      </c>
      <c r="I32" s="4">
        <v>20.0</v>
      </c>
      <c r="J32" s="5">
        <v>33261.8</v>
      </c>
      <c r="K32" s="9">
        <v>0</v>
      </c>
      <c r="L32" s="9">
        <v>0</v>
      </c>
      <c r="M32" s="16">
        <v>0</v>
      </c>
      <c r="N32" s="9">
        <v>0</v>
      </c>
      <c r="O32" s="9">
        <v>0</v>
      </c>
      <c r="P32" s="4">
        <v>1.0</v>
      </c>
      <c r="Q32" s="4">
        <v>0.125</v>
      </c>
      <c r="R32" s="4">
        <v>17.0</v>
      </c>
      <c r="S32" s="5">
        <v>28272.53</v>
      </c>
      <c r="T32" s="4">
        <v>0.083333</v>
      </c>
      <c r="U32" s="12">
        <v>204.00081600326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3">
        <v>0</v>
      </c>
      <c r="AC32" s="9">
        <v>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4">
        <v>1.0</v>
      </c>
      <c r="AK32" s="9">
        <v>0</v>
      </c>
      <c r="AL32" s="9">
        <v>0</v>
      </c>
      <c r="AM32" s="9">
        <v>0</v>
      </c>
      <c r="AN32" s="3">
        <v>0</v>
      </c>
      <c r="AO32" s="9">
        <v>0</v>
      </c>
      <c r="AP32" s="9">
        <v>0</v>
      </c>
    </row>
    <row r="33" spans="1:42">
      <c r="A33" s="1" t="s">
        <v>109</v>
      </c>
      <c r="B33" s="1"/>
      <c r="C33" s="1"/>
      <c r="D33" s="1"/>
      <c r="E33" s="1"/>
      <c r="F33" s="18">
        <f>SUM(F3:F33)</f>
        <v>2467150.245</v>
      </c>
      <c r="G33" s="1"/>
      <c r="H33" s="18">
        <f>SUM(H3:H33)</f>
        <v>3693171.268</v>
      </c>
      <c r="I33" s="1"/>
      <c r="J33" s="18">
        <f>SUM(J3:J33)</f>
        <v>2639113.09</v>
      </c>
      <c r="K33" s="1"/>
      <c r="L33" s="18">
        <f>SUM(L3:L33)</f>
        <v>3055416.034546</v>
      </c>
      <c r="M33" s="1"/>
      <c r="N33" s="1"/>
      <c r="O33" s="1"/>
      <c r="P33" s="1"/>
      <c r="Q33" s="1"/>
      <c r="R33" s="1"/>
      <c r="S33" s="18">
        <f>SUM(S3:S33)</f>
        <v>1781013.613</v>
      </c>
      <c r="T33" s="1"/>
      <c r="U33" s="1"/>
      <c r="V33" s="18">
        <f>SUM(V3:V33)</f>
        <v>2425004.253</v>
      </c>
      <c r="W33" s="1"/>
      <c r="X33" s="18">
        <f>SUM(X3:X33)</f>
        <v>3326828.876</v>
      </c>
      <c r="Y33" s="1"/>
      <c r="Z33" s="18">
        <f>SUM(Z3:Z33)</f>
        <v>901824.623</v>
      </c>
      <c r="AA33" s="1"/>
      <c r="AB33" s="1"/>
      <c r="AC33" s="1"/>
      <c r="AD33" s="1"/>
      <c r="AE33" s="1"/>
      <c r="AF33" s="18">
        <f>SUM(AF3:AF33)</f>
        <v>0</v>
      </c>
      <c r="AG33" s="1"/>
      <c r="AH33" s="1"/>
      <c r="AI33" s="18">
        <f>SUM(AI3:AI33)</f>
        <v>24589.751</v>
      </c>
      <c r="AJ33" s="1"/>
      <c r="AM33" s="5">
        <f>SUM(AM3:AM33)</f>
        <v>0</v>
      </c>
      <c r="AP33" s="5">
        <f>SUM(AP3:AP33)</f>
        <v>24589.751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33:D3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22"/>
  <sheetViews>
    <sheetView tabSelected="0" workbookViewId="0" showGridLines="true" showRowColHeaders="1">
      <pane ySplit="1" topLeftCell="A2" activePane="bottomLeft" state="frozen"/>
      <selection pane="bottomLeft" activeCell="I22" sqref="I22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110</v>
      </c>
      <c r="C1" s="1" t="s">
        <v>111</v>
      </c>
      <c r="D1" s="1" t="s">
        <v>112</v>
      </c>
      <c r="E1" s="1" t="s">
        <v>113</v>
      </c>
      <c r="F1" s="1" t="s">
        <v>1</v>
      </c>
      <c r="G1" s="1" t="s">
        <v>2</v>
      </c>
      <c r="H1" s="1" t="s">
        <v>114</v>
      </c>
      <c r="I1" s="1" t="s">
        <v>115</v>
      </c>
      <c r="J1" s="1" t="s">
        <v>116</v>
      </c>
      <c r="K1" s="1" t="s">
        <v>117</v>
      </c>
      <c r="L1" s="1" t="s">
        <v>118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119</v>
      </c>
      <c r="C2" s="3" t="s">
        <v>120</v>
      </c>
      <c r="D2" s="19">
        <v>44698.0</v>
      </c>
      <c r="E2" t="s">
        <v>121</v>
      </c>
      <c r="F2" s="3" t="s">
        <v>45</v>
      </c>
      <c r="G2" t="s">
        <v>46</v>
      </c>
      <c r="H2" s="3" t="s">
        <v>122</v>
      </c>
      <c r="I2" s="4">
        <v>1.0</v>
      </c>
      <c r="J2" t="s">
        <v>123</v>
      </c>
      <c r="K2" t="s">
        <v>124</v>
      </c>
      <c r="L2" t="s">
        <v>125</v>
      </c>
    </row>
    <row r="3" spans="1:36">
      <c r="A3" s="3">
        <v>2</v>
      </c>
      <c r="B3" t="s">
        <v>119</v>
      </c>
      <c r="C3" s="3" t="s">
        <v>126</v>
      </c>
      <c r="D3" s="19">
        <v>44711.0</v>
      </c>
      <c r="E3" t="s">
        <v>127</v>
      </c>
      <c r="F3" s="3" t="s">
        <v>45</v>
      </c>
      <c r="G3" t="s">
        <v>46</v>
      </c>
      <c r="H3" s="3" t="s">
        <v>122</v>
      </c>
      <c r="I3" s="4">
        <v>1.0</v>
      </c>
      <c r="J3" t="s">
        <v>123</v>
      </c>
      <c r="K3" t="s">
        <v>128</v>
      </c>
      <c r="L3" t="s">
        <v>129</v>
      </c>
    </row>
    <row r="4" spans="1:36">
      <c r="A4" s="3">
        <v>3</v>
      </c>
      <c r="B4" t="s">
        <v>130</v>
      </c>
      <c r="C4" s="3" t="s">
        <v>131</v>
      </c>
      <c r="D4" s="19">
        <v>44750.0</v>
      </c>
      <c r="E4" t="s">
        <v>132</v>
      </c>
      <c r="F4" s="3" t="s">
        <v>45</v>
      </c>
      <c r="G4" t="s">
        <v>46</v>
      </c>
      <c r="H4" s="3" t="s">
        <v>122</v>
      </c>
      <c r="I4" s="4">
        <v>1.0</v>
      </c>
      <c r="J4" t="s">
        <v>123</v>
      </c>
      <c r="K4" t="s">
        <v>124</v>
      </c>
      <c r="L4" t="s">
        <v>133</v>
      </c>
    </row>
    <row r="5" spans="1:36">
      <c r="A5" s="3">
        <v>4</v>
      </c>
      <c r="B5" t="s">
        <v>134</v>
      </c>
      <c r="C5" s="3" t="s">
        <v>135</v>
      </c>
      <c r="D5" s="19">
        <v>44777.0</v>
      </c>
      <c r="E5" t="s">
        <v>136</v>
      </c>
      <c r="F5" s="3" t="s">
        <v>45</v>
      </c>
      <c r="G5" t="s">
        <v>46</v>
      </c>
      <c r="H5" s="3" t="s">
        <v>122</v>
      </c>
      <c r="I5" s="4">
        <v>1.0</v>
      </c>
      <c r="J5" t="s">
        <v>123</v>
      </c>
      <c r="K5" t="s">
        <v>128</v>
      </c>
      <c r="L5" t="s">
        <v>137</v>
      </c>
    </row>
    <row r="6" spans="1:36">
      <c r="A6" s="3">
        <v>5</v>
      </c>
      <c r="B6" t="s">
        <v>119</v>
      </c>
      <c r="C6" s="3" t="s">
        <v>138</v>
      </c>
      <c r="D6" s="19">
        <v>45077.0</v>
      </c>
      <c r="E6" t="s">
        <v>139</v>
      </c>
      <c r="F6" s="3" t="s">
        <v>45</v>
      </c>
      <c r="G6" t="s">
        <v>46</v>
      </c>
      <c r="H6" s="3" t="s">
        <v>122</v>
      </c>
      <c r="I6" s="4">
        <v>1.0</v>
      </c>
      <c r="J6" t="s">
        <v>123</v>
      </c>
      <c r="K6" t="s">
        <v>128</v>
      </c>
      <c r="L6" t="s">
        <v>140</v>
      </c>
    </row>
    <row r="7" spans="1:36">
      <c r="A7" s="3">
        <v>6</v>
      </c>
      <c r="B7" t="s">
        <v>119</v>
      </c>
      <c r="C7" s="3" t="s">
        <v>141</v>
      </c>
      <c r="D7" s="19">
        <v>44629.0</v>
      </c>
      <c r="E7" t="s">
        <v>142</v>
      </c>
      <c r="F7" s="3" t="s">
        <v>42</v>
      </c>
      <c r="G7" t="s">
        <v>43</v>
      </c>
      <c r="H7" s="3" t="s">
        <v>122</v>
      </c>
      <c r="I7" s="4">
        <v>1.0</v>
      </c>
      <c r="J7" t="s">
        <v>123</v>
      </c>
      <c r="K7" t="s">
        <v>124</v>
      </c>
      <c r="L7" t="s">
        <v>143</v>
      </c>
    </row>
    <row r="8" spans="1:36">
      <c r="A8" s="3">
        <v>7</v>
      </c>
      <c r="B8" t="s">
        <v>134</v>
      </c>
      <c r="C8" s="3" t="s">
        <v>144</v>
      </c>
      <c r="D8" s="19">
        <v>44749.0</v>
      </c>
      <c r="E8" t="s">
        <v>145</v>
      </c>
      <c r="F8" s="3" t="s">
        <v>42</v>
      </c>
      <c r="G8" t="s">
        <v>43</v>
      </c>
      <c r="H8" s="3" t="s">
        <v>122</v>
      </c>
      <c r="I8" s="4">
        <v>1.0</v>
      </c>
      <c r="J8" t="s">
        <v>123</v>
      </c>
      <c r="K8" t="s">
        <v>124</v>
      </c>
      <c r="L8" t="s">
        <v>146</v>
      </c>
    </row>
    <row r="9" spans="1:36">
      <c r="A9" s="3">
        <v>8</v>
      </c>
      <c r="B9" t="s">
        <v>134</v>
      </c>
      <c r="C9" s="3" t="s">
        <v>147</v>
      </c>
      <c r="D9" s="19">
        <v>44777.0</v>
      </c>
      <c r="E9" t="s">
        <v>148</v>
      </c>
      <c r="F9" s="3" t="s">
        <v>42</v>
      </c>
      <c r="G9" t="s">
        <v>43</v>
      </c>
      <c r="H9" s="3" t="s">
        <v>122</v>
      </c>
      <c r="I9" s="4">
        <v>1.0</v>
      </c>
      <c r="J9" t="s">
        <v>123</v>
      </c>
      <c r="K9" t="s">
        <v>124</v>
      </c>
      <c r="L9" t="s">
        <v>149</v>
      </c>
    </row>
    <row r="10" spans="1:36">
      <c r="A10" s="3">
        <v>9</v>
      </c>
      <c r="B10" t="s">
        <v>134</v>
      </c>
      <c r="C10" s="3" t="s">
        <v>150</v>
      </c>
      <c r="D10" s="19">
        <v>44952.0</v>
      </c>
      <c r="E10" t="s">
        <v>151</v>
      </c>
      <c r="F10" s="3" t="s">
        <v>42</v>
      </c>
      <c r="G10" t="s">
        <v>43</v>
      </c>
      <c r="H10" s="3" t="s">
        <v>122</v>
      </c>
      <c r="I10" s="4">
        <v>1.0</v>
      </c>
      <c r="J10" t="s">
        <v>152</v>
      </c>
      <c r="K10" t="s">
        <v>124</v>
      </c>
      <c r="L10" t="s">
        <v>153</v>
      </c>
    </row>
    <row r="11" spans="1:36">
      <c r="A11" s="3">
        <v>10</v>
      </c>
      <c r="B11" t="s">
        <v>134</v>
      </c>
      <c r="C11" s="3" t="s">
        <v>154</v>
      </c>
      <c r="D11" s="19">
        <v>44979.0</v>
      </c>
      <c r="E11" t="s">
        <v>155</v>
      </c>
      <c r="F11" s="3" t="s">
        <v>42</v>
      </c>
      <c r="G11" t="s">
        <v>43</v>
      </c>
      <c r="H11" s="3" t="s">
        <v>122</v>
      </c>
      <c r="I11" s="4">
        <v>1.0</v>
      </c>
      <c r="J11" t="s">
        <v>152</v>
      </c>
      <c r="K11" t="s">
        <v>124</v>
      </c>
      <c r="L11" t="s">
        <v>153</v>
      </c>
    </row>
    <row r="12" spans="1:36">
      <c r="A12" s="3">
        <v>11</v>
      </c>
      <c r="B12" t="s">
        <v>119</v>
      </c>
      <c r="C12" s="3" t="s">
        <v>156</v>
      </c>
      <c r="D12" s="19">
        <v>44987.0</v>
      </c>
      <c r="E12" t="s">
        <v>157</v>
      </c>
      <c r="F12" s="3" t="s">
        <v>42</v>
      </c>
      <c r="G12" t="s">
        <v>43</v>
      </c>
      <c r="H12" s="3" t="s">
        <v>122</v>
      </c>
      <c r="I12" s="4">
        <v>1.0</v>
      </c>
      <c r="J12" t="s">
        <v>123</v>
      </c>
      <c r="K12" t="s">
        <v>128</v>
      </c>
      <c r="L12" t="s">
        <v>158</v>
      </c>
    </row>
    <row r="13" spans="1:36">
      <c r="A13" s="3">
        <v>12</v>
      </c>
      <c r="B13" t="s">
        <v>119</v>
      </c>
      <c r="C13" s="3" t="s">
        <v>159</v>
      </c>
      <c r="D13" s="19">
        <v>45061.0</v>
      </c>
      <c r="E13" t="s">
        <v>160</v>
      </c>
      <c r="F13" s="3" t="s">
        <v>42</v>
      </c>
      <c r="G13" t="s">
        <v>43</v>
      </c>
      <c r="H13" s="3" t="s">
        <v>122</v>
      </c>
      <c r="I13" s="4">
        <v>1.0</v>
      </c>
      <c r="J13" t="s">
        <v>123</v>
      </c>
      <c r="K13" t="s">
        <v>128</v>
      </c>
      <c r="L13" t="s">
        <v>161</v>
      </c>
    </row>
    <row r="14" spans="1:36">
      <c r="A14" s="3">
        <v>13</v>
      </c>
      <c r="B14" t="s">
        <v>119</v>
      </c>
      <c r="C14" s="3" t="s">
        <v>162</v>
      </c>
      <c r="D14" s="19">
        <v>45077.0</v>
      </c>
      <c r="E14" t="s">
        <v>163</v>
      </c>
      <c r="F14" s="3" t="s">
        <v>42</v>
      </c>
      <c r="G14" t="s">
        <v>43</v>
      </c>
      <c r="H14" s="3" t="s">
        <v>122</v>
      </c>
      <c r="I14" s="4">
        <v>1.0</v>
      </c>
      <c r="J14" t="s">
        <v>123</v>
      </c>
      <c r="K14" t="s">
        <v>128</v>
      </c>
      <c r="L14" t="s">
        <v>164</v>
      </c>
    </row>
    <row r="15" spans="1:36">
      <c r="A15" s="3">
        <v>14</v>
      </c>
      <c r="B15" t="s">
        <v>134</v>
      </c>
      <c r="C15" s="3" t="s">
        <v>165</v>
      </c>
      <c r="D15" s="19">
        <v>45126.0</v>
      </c>
      <c r="E15" t="s">
        <v>155</v>
      </c>
      <c r="F15" s="3" t="s">
        <v>42</v>
      </c>
      <c r="G15" t="s">
        <v>43</v>
      </c>
      <c r="H15" s="3" t="s">
        <v>122</v>
      </c>
      <c r="I15" s="4">
        <v>1.0</v>
      </c>
      <c r="J15" t="s">
        <v>123</v>
      </c>
      <c r="K15" t="s">
        <v>124</v>
      </c>
      <c r="L15" t="s">
        <v>166</v>
      </c>
    </row>
    <row r="16" spans="1:36">
      <c r="A16" s="3">
        <v>15</v>
      </c>
      <c r="B16" t="s">
        <v>119</v>
      </c>
      <c r="C16" s="3" t="s">
        <v>167</v>
      </c>
      <c r="D16" s="19">
        <v>45155.0</v>
      </c>
      <c r="E16" t="s">
        <v>168</v>
      </c>
      <c r="F16" s="3" t="s">
        <v>42</v>
      </c>
      <c r="G16" t="s">
        <v>43</v>
      </c>
      <c r="H16" s="3" t="s">
        <v>122</v>
      </c>
      <c r="I16" s="4">
        <v>1.0</v>
      </c>
      <c r="J16" t="s">
        <v>152</v>
      </c>
      <c r="K16" t="s">
        <v>128</v>
      </c>
      <c r="L16" t="s">
        <v>169</v>
      </c>
    </row>
    <row r="17" spans="1:36">
      <c r="A17" s="3">
        <v>16</v>
      </c>
      <c r="B17" t="s">
        <v>134</v>
      </c>
      <c r="C17" s="3" t="s">
        <v>170</v>
      </c>
      <c r="D17" s="19">
        <v>45174.0</v>
      </c>
      <c r="E17" t="s">
        <v>171</v>
      </c>
      <c r="F17" s="3" t="s">
        <v>42</v>
      </c>
      <c r="G17" t="s">
        <v>43</v>
      </c>
      <c r="H17" s="3" t="s">
        <v>122</v>
      </c>
      <c r="I17" s="4">
        <v>1.0</v>
      </c>
      <c r="J17" t="s">
        <v>152</v>
      </c>
      <c r="K17" t="s">
        <v>124</v>
      </c>
      <c r="L17" t="s">
        <v>172</v>
      </c>
    </row>
    <row r="18" spans="1:36">
      <c r="A18" s="3">
        <v>17</v>
      </c>
      <c r="B18" t="s">
        <v>119</v>
      </c>
      <c r="C18" s="3" t="s">
        <v>173</v>
      </c>
      <c r="D18" s="19">
        <v>45143.0</v>
      </c>
      <c r="E18" t="s">
        <v>174</v>
      </c>
      <c r="F18" s="3" t="s">
        <v>72</v>
      </c>
      <c r="G18" t="s">
        <v>73</v>
      </c>
      <c r="H18" s="3" t="s">
        <v>122</v>
      </c>
      <c r="I18" s="4">
        <v>1.0</v>
      </c>
      <c r="J18" t="s">
        <v>123</v>
      </c>
      <c r="K18" t="s">
        <v>124</v>
      </c>
      <c r="L18" t="s">
        <v>175</v>
      </c>
    </row>
    <row r="19" spans="1:36">
      <c r="A19" s="3">
        <v>18</v>
      </c>
      <c r="B19" t="s">
        <v>130</v>
      </c>
      <c r="C19" s="3" t="s">
        <v>176</v>
      </c>
      <c r="D19" s="19">
        <v>45143.0</v>
      </c>
      <c r="E19" t="s">
        <v>177</v>
      </c>
      <c r="F19" s="3" t="s">
        <v>47</v>
      </c>
      <c r="G19" t="s">
        <v>48</v>
      </c>
      <c r="H19" s="3" t="s">
        <v>122</v>
      </c>
      <c r="I19" s="4">
        <v>1.0</v>
      </c>
      <c r="J19" t="s">
        <v>152</v>
      </c>
      <c r="K19" t="s">
        <v>128</v>
      </c>
      <c r="L19" t="s">
        <v>178</v>
      </c>
    </row>
    <row r="20" spans="1:36">
      <c r="A20" s="3">
        <v>19</v>
      </c>
      <c r="B20" t="s">
        <v>134</v>
      </c>
      <c r="C20" s="3" t="s">
        <v>179</v>
      </c>
      <c r="D20" s="19">
        <v>44655.0</v>
      </c>
      <c r="E20" t="s">
        <v>180</v>
      </c>
      <c r="F20" s="3" t="s">
        <v>66</v>
      </c>
      <c r="G20" t="s">
        <v>67</v>
      </c>
      <c r="H20" s="3" t="s">
        <v>122</v>
      </c>
      <c r="I20" s="4">
        <v>2.0</v>
      </c>
      <c r="J20" t="s">
        <v>123</v>
      </c>
      <c r="K20" t="s">
        <v>181</v>
      </c>
      <c r="L20" t="s">
        <v>182</v>
      </c>
    </row>
    <row r="21" spans="1:36">
      <c r="A21" s="3">
        <v>20</v>
      </c>
      <c r="B21" t="s">
        <v>134</v>
      </c>
      <c r="C21" s="3" t="s">
        <v>183</v>
      </c>
      <c r="D21" s="19">
        <v>44749.0</v>
      </c>
      <c r="E21" t="s">
        <v>184</v>
      </c>
      <c r="F21" s="3" t="s">
        <v>66</v>
      </c>
      <c r="G21" t="s">
        <v>67</v>
      </c>
      <c r="H21" s="3" t="s">
        <v>122</v>
      </c>
      <c r="I21" s="4">
        <v>1.0</v>
      </c>
      <c r="J21" t="s">
        <v>123</v>
      </c>
      <c r="K21" t="s">
        <v>124</v>
      </c>
      <c r="L21" t="s">
        <v>185</v>
      </c>
    </row>
    <row r="22" spans="1:36">
      <c r="A22" s="3">
        <v>21</v>
      </c>
      <c r="B22" t="s">
        <v>134</v>
      </c>
      <c r="C22" s="3" t="s">
        <v>186</v>
      </c>
      <c r="D22" s="19">
        <v>44810.0</v>
      </c>
      <c r="E22" t="s">
        <v>187</v>
      </c>
      <c r="F22" s="3" t="s">
        <v>66</v>
      </c>
      <c r="G22" t="s">
        <v>67</v>
      </c>
      <c r="H22" s="3" t="s">
        <v>122</v>
      </c>
      <c r="I22" s="4">
        <v>6.0</v>
      </c>
      <c r="J22" t="s">
        <v>123</v>
      </c>
      <c r="K22" t="s">
        <v>124</v>
      </c>
      <c r="L22" t="s">
        <v>188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2023-09-27T11:29:39+07:00</dcterms:created>
  <dcterms:modified xsi:type="dcterms:W3CDTF">2023-09-27T11:29:39+07:00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