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ข้อมูลซัพพลายเออร์" sheetId="1" r:id="rId4"/>
    <sheet name="ข้อมูลการคืนเคลมสินค้า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<sst xmlns="http://schemas.openxmlformats.org/spreadsheetml/2006/main" uniqueCount="196">
  <si>
    <t>ลำดับ</t>
  </si>
  <si>
    <t>รหัสสินค้า</t>
  </si>
  <si>
    <t>ชื่อสินค้า</t>
  </si>
  <si>
    <t>สถานะ</t>
  </si>
  <si>
    <t>ยอดซื้อ 2022</t>
  </si>
  <si>
    <t>จำนวน
(หน่วย)</t>
  </si>
  <si>
    <t>มูลค่า
(THB)</t>
  </si>
  <si>
    <t>ยอดซื้อ 2023</t>
  </si>
  <si>
    <t>ยอดซื้อจริง 2024</t>
  </si>
  <si>
    <t>ประมาณการสั่งซื้อ 2024</t>
  </si>
  <si>
    <t>Growth
(%)</t>
  </si>
  <si>
    <t>ยอดขาย 2023</t>
  </si>
  <si>
    <t>รวมทั้งหมด
(หน่วย)</t>
  </si>
  <si>
    <t>เฉลี่ยต่อเดือน
(หน่วย)</t>
  </si>
  <si>
    <t>ยอดขาย 2024</t>
  </si>
  <si>
    <t>สินค้าคงคลัง 13/02/2024</t>
  </si>
  <si>
    <t>จำนวนคงคลัง
(หน่วย)</t>
  </si>
  <si>
    <t>มูลค่าคงคลัง
(THB)</t>
  </si>
  <si>
    <t>ยอดขายเฉลี่ย
12 เดือน (หน่วย)</t>
  </si>
  <si>
    <t>T/O
(เดือน)</t>
  </si>
  <si>
    <t>วิเคราะห์การขาย 2023</t>
  </si>
  <si>
    <t>ต้นทุนขายรวม
(VAT) (THB)</t>
  </si>
  <si>
    <t>ต้นทุนขายเฉลี่ย/ตัว
(VAT) (THB)</t>
  </si>
  <si>
    <t>ราคาขายรวม
(VAT) (THB)</t>
  </si>
  <si>
    <t>ราคาขายเฉลี่ย/ตัว
(VAT) (THB)</t>
  </si>
  <si>
    <t>กำไรรวม
(THB)</t>
  </si>
  <si>
    <t>กำไรเฉลี่ย/ตัว
(VAT) (THB)</t>
  </si>
  <si>
    <t>% of GP</t>
  </si>
  <si>
    <t>ข้อมูลการเคลมสินค้า 2023</t>
  </si>
  <si>
    <t>ยอดขาย 2023
(หน่วย)</t>
  </si>
  <si>
    <t>คืนเพื่อเคลมซัพฯ
2023 (หน่วย)</t>
  </si>
  <si>
    <t>เคลมซัพฯ แล้ว
2023 (หน่วย)</t>
  </si>
  <si>
    <t>มูลค่าการเคลม
2023 (THB)</t>
  </si>
  <si>
    <t>% การเคลม
2023</t>
  </si>
  <si>
    <t>รอเคลมซัพฯ
(หน่วย)</t>
  </si>
  <si>
    <t>มูลค่ารอเคลมซัพฯ
(THB)</t>
  </si>
  <si>
    <t>วิเคราะห์การขาย 2024</t>
  </si>
  <si>
    <t>ข้อมูลการเคลมสินค้า 2024</t>
  </si>
  <si>
    <t>ยอดขาย 2024
(หน่วย)</t>
  </si>
  <si>
    <t>คืนเพื่อเคลมซัพฯ
2024 (หน่วย)</t>
  </si>
  <si>
    <t>เคลมซัพฯ แล้ว
2024 (หน่วย)</t>
  </si>
  <si>
    <t>มูลค่าการเคลม
2024 (THB)</t>
  </si>
  <si>
    <t>% การเคลม
2024</t>
  </si>
  <si>
    <t>03-009-036</t>
  </si>
  <si>
    <t>ดอกไขควงญี่ปุ่นโตเกียว 2*110 (แพ็ค 10 ดอก)</t>
  </si>
  <si>
    <t>M</t>
  </si>
  <si>
    <t>04-002-090</t>
  </si>
  <si>
    <t>ไขควงลมตรงใหญ่ EX-480</t>
  </si>
  <si>
    <t>D22</t>
  </si>
  <si>
    <t>03-004-128</t>
  </si>
  <si>
    <t>หางปลา-เกลียวนอก 2หุน ทองเหลือง(1/4M-7H)</t>
  </si>
  <si>
    <t>A</t>
  </si>
  <si>
    <t>03-004-127</t>
  </si>
  <si>
    <t>หางปลา-เกลียวใน 2หุน ทองเหลือง(1/4F-7H)</t>
  </si>
  <si>
    <t>36-231-111</t>
  </si>
  <si>
    <t>ใบเลื่อยจิ๊กซอ T118A BOSCH</t>
  </si>
  <si>
    <t>DEAD</t>
  </si>
  <si>
    <t>03-009-025</t>
  </si>
  <si>
    <t>ดอกไขควงญี่ปุ่นโตเกียว 2*65(10 ดอกชุด)</t>
  </si>
  <si>
    <t>D</t>
  </si>
  <si>
    <t>ZZ-000-084</t>
  </si>
  <si>
    <t>เครื่องขัดกระดาษทราย BOSCH GEX18V-125 (เฉพาะตัวเครื่อง)</t>
  </si>
  <si>
    <t>ZZ-000-489</t>
  </si>
  <si>
    <t>เลื่อยจิ๊กซอ BOSCH GST 90BE 650W.</t>
  </si>
  <si>
    <t>P</t>
  </si>
  <si>
    <t>31-123-010</t>
  </si>
  <si>
    <t>สว่านโรตารี่ MAKITA M8701B26 26mm. 3ระบบ</t>
  </si>
  <si>
    <t>ZZ-000-086</t>
  </si>
  <si>
    <t>ดอกไขควงญี่ปุ่นโตเกียว 2*65(แพ็ค 10 )</t>
  </si>
  <si>
    <t>D21</t>
  </si>
  <si>
    <t>32-653-100</t>
  </si>
  <si>
    <t>ตัดอลูมิเนียม</t>
  </si>
  <si>
    <t>99-998-120</t>
  </si>
  <si>
    <t>แท่นชาร์จ Bosch 18V</t>
  </si>
  <si>
    <t>ZZ-000-147</t>
  </si>
  <si>
    <t>แบตเตอรี่ 18 V.</t>
  </si>
  <si>
    <t>ZZ-000-078</t>
  </si>
  <si>
    <t>กาพ่นสี TG112 นกนางแอ่น</t>
  </si>
  <si>
    <t>ZZ-000-006</t>
  </si>
  <si>
    <t>กระดาษทรายขัดบูริเทน TOA#320 (แพ็ค 12 ชิ้น)</t>
  </si>
  <si>
    <t>30-103-010</t>
  </si>
  <si>
    <t>สว่านกระแทกไร้สาย BOSCH GSB 120-LI (12V.)</t>
  </si>
  <si>
    <t>30-112-010</t>
  </si>
  <si>
    <t>สว่านโรตารี่ BOSCH GBH2-26DFR 3ระบบ 800W.</t>
  </si>
  <si>
    <t>31-351-125</t>
  </si>
  <si>
    <t>เลื่อยวงเดือน 9"MAKITA N5900B</t>
  </si>
  <si>
    <t>ZZ-000-152</t>
  </si>
  <si>
    <t>เจียร์ 4 นิ้ว GSW900-100 BOSCH</t>
  </si>
  <si>
    <t>31-351-113</t>
  </si>
  <si>
    <t>เลื่อยวงเดือน 7" MAKITA M5801B</t>
  </si>
  <si>
    <t>10-035-030</t>
  </si>
  <si>
    <t>มอเตอร์HITACHI 1HP 220V.มีคอน</t>
  </si>
  <si>
    <t>ZZ-000-476</t>
  </si>
  <si>
    <t>เครื่องเลื่อย Bosch GKS140</t>
  </si>
  <si>
    <t>30-101-505</t>
  </si>
  <si>
    <t>สว่าน 4หุน BOSCH GSB 16RE</t>
  </si>
  <si>
    <t>34-911-001</t>
  </si>
  <si>
    <t>สายพาน แท่นตัดองศา (255 mm.)</t>
  </si>
  <si>
    <t>36-241-111</t>
  </si>
  <si>
    <t>ใบเลื่อยจิ๊กซอ T111C BOSCH</t>
  </si>
  <si>
    <t>ZZ-000-410</t>
  </si>
  <si>
    <t>คลิปแอมป์ UNI-T UT204+</t>
  </si>
  <si>
    <t>37-911-210</t>
  </si>
  <si>
    <t>คีมจับเชื่อม LIBERTY 300 A</t>
  </si>
  <si>
    <t>36-231-120</t>
  </si>
  <si>
    <t>ใบเลื่อยจิ๊กซอ T144D BOSCH</t>
  </si>
  <si>
    <t>36-231-130</t>
  </si>
  <si>
    <t>ใบเลื่อยจิ๊กซอ T244D BOSCH</t>
  </si>
  <si>
    <t>35-522-847</t>
  </si>
  <si>
    <t>ดอกสว่านโรตารี่BOSCH 16x400/460(S3)SDS PLUS</t>
  </si>
  <si>
    <t>ZZ-000-484</t>
  </si>
  <si>
    <t>แปรงถ่าน BOSCH GWS750-100</t>
  </si>
  <si>
    <t>ZZ-000-355</t>
  </si>
  <si>
    <t>อะไหล่ DDF453SHE #7 SWITCH MAKITA</t>
  </si>
  <si>
    <t>ZZ-000-394</t>
  </si>
  <si>
    <t>ใบเลื่อยจิ๊กซอ T101B BOSCH</t>
  </si>
  <si>
    <t>92-611-050</t>
  </si>
  <si>
    <t>ฉากเหล็ก 12" META</t>
  </si>
  <si>
    <t>ZZ-000-477</t>
  </si>
  <si>
    <t>ใบเลื่อย Bosch 7X60T Eco</t>
  </si>
  <si>
    <t>10-010-030</t>
  </si>
  <si>
    <t>ปั๊มลมPUMA 1HP 2สูบ(92L)PP-21</t>
  </si>
  <si>
    <t>10-010-035</t>
  </si>
  <si>
    <t>ปั๊มลมPUMA 2HP 2สูบ(148L)PP-22</t>
  </si>
  <si>
    <t>10-032-030</t>
  </si>
  <si>
    <t>มอเตอร์MITSU 1HP 220V.SCมีคอน</t>
  </si>
  <si>
    <t>10-032-040</t>
  </si>
  <si>
    <t>มอเตอร์MITSU 2HP 220V.SCมีคอน</t>
  </si>
  <si>
    <t>13-010-311</t>
  </si>
  <si>
    <t>บอลวาล์ว E ผู้-ปลา (1/4M-8H)</t>
  </si>
  <si>
    <t>31-300-222</t>
  </si>
  <si>
    <t>ขัดเงา MAKITA 9218BL(รอบช้า)</t>
  </si>
  <si>
    <t>31-301-008</t>
  </si>
  <si>
    <t>เร้าเตอร์ MAKITA M3600B</t>
  </si>
  <si>
    <t>31-321-001</t>
  </si>
  <si>
    <t>ตัดไฟเบอร์ 14" MAKITA 2401B</t>
  </si>
  <si>
    <t>31-441-512</t>
  </si>
  <si>
    <t>ใบเลื่อยจิ๊กซอ NO.B-10 MAKITA</t>
  </si>
  <si>
    <t>32-600-010</t>
  </si>
  <si>
    <t>แท่นตัดไฟเบอร์  Bosch GCO 220</t>
  </si>
  <si>
    <t>32-804-100</t>
  </si>
  <si>
    <t>ไขควงลมด้ามปืน 1/4" AEROPRO AP,RP7220</t>
  </si>
  <si>
    <t>35-522-844</t>
  </si>
  <si>
    <t>ดอกสว่านโรตารี่BOSCH 14x400/460(S3)SDS PLUS</t>
  </si>
  <si>
    <t>36-124-120</t>
  </si>
  <si>
    <t>ใบเลื่อยวงเดือน 12"x120T ตัดอลูมิเนียม</t>
  </si>
  <si>
    <t>36-231-140</t>
  </si>
  <si>
    <t>ใบเลื่อยจิ๊กซอว์  S1122 BF BOSCH (pack 5)</t>
  </si>
  <si>
    <t>36-412-311</t>
  </si>
  <si>
    <t>ใบตัดเหล็ก 14" MAKITA สีดำ</t>
  </si>
  <si>
    <t>36-421-208</t>
  </si>
  <si>
    <t>ใบตัดโฟม 8" BOSCH</t>
  </si>
  <si>
    <t>37-511-412</t>
  </si>
  <si>
    <t>สายเชื่อมดำ 50sqmm(1200เส้น)</t>
  </si>
  <si>
    <t>37-512-110</t>
  </si>
  <si>
    <t>สายเชื่อมส้ม 35sqmm(1000เส้น)300A</t>
  </si>
  <si>
    <t>37-512-205</t>
  </si>
  <si>
    <t>สายเชื่อมส้ม 50sqmm(1200เส้น)/2ชั้น</t>
  </si>
  <si>
    <t>37-730-010</t>
  </si>
  <si>
    <t>ลวดเชื่อม KOBE ขาว 2.6 มม.(KOBE-30)</t>
  </si>
  <si>
    <t>37-730-020</t>
  </si>
  <si>
    <t>ลวดเชื่อม KOBE ขาว 3.2 มม.(KOBE-30)</t>
  </si>
  <si>
    <t>92-112-130</t>
  </si>
  <si>
    <t>ค้อนหงอนด้ามไฟเบอร์ STANLEY แท้</t>
  </si>
  <si>
    <t>92-667-039</t>
  </si>
  <si>
    <t>เลเซอร์วัดระยะ BOSCH GLM40</t>
  </si>
  <si>
    <t>92-667-060</t>
  </si>
  <si>
    <t>เลเซอร์กำหนดแนวเส้น+กำหนดจุด BOSCH GCL 25</t>
  </si>
  <si>
    <t>93-600-007</t>
  </si>
  <si>
    <t>ปืนยิงซิลิโคน</t>
  </si>
  <si>
    <t>ZZ-000-088</t>
  </si>
  <si>
    <t>เครื่องอัดฉีด ZEEBOLA ZE-15M30-4T2</t>
  </si>
  <si>
    <t>ZZ-000-232</t>
  </si>
  <si>
    <t>เครื่องยิงตะปูม้วน Makita AN902</t>
  </si>
  <si>
    <t>ZZ-000-349</t>
  </si>
  <si>
    <t>ปั้มจุ่มน้ำเสีย+ลูกลอย 750 วัตต์ LUCKY PRO</t>
  </si>
  <si>
    <t>ZZ-000-361</t>
  </si>
  <si>
    <t>ทุ่น GBH3-28 BOSCH</t>
  </si>
  <si>
    <t>ZZ-000-362</t>
  </si>
  <si>
    <t>อะไหล่แกนเพลา GBH3-28 BOSCH</t>
  </si>
  <si>
    <t>ZZ-000-366</t>
  </si>
  <si>
    <t>แท่นเลื่อยองศา STANLGY รุ่น SM18</t>
  </si>
  <si>
    <t>ZZ-000-385</t>
  </si>
  <si>
    <t>ไขควงกระแทกไร้สาย GDR120-LI BOSCH  (ตัวเปล่า)</t>
  </si>
  <si>
    <t>ZZ-000-402</t>
  </si>
  <si>
    <t>ตลับเมตร 5 ม. หุ้มยาง</t>
  </si>
  <si>
    <t>รวมทั้งหมด</t>
  </si>
  <si>
    <t>ทีมขาย</t>
  </si>
  <si>
    <t>เลขที่เอกสาร</t>
  </si>
  <si>
    <t>วันที่เอกสาร</t>
  </si>
  <si>
    <t>ชื่อลูกค้า</t>
  </si>
  <si>
    <t>คลัง</t>
  </si>
  <si>
    <t>จำนวน</t>
  </si>
  <si>
    <t>หน่วย</t>
  </si>
  <si>
    <t>รายละเอียดการคืน</t>
  </si>
  <si>
    <t>เหตุผลการคืน</t>
  </si>
</sst>
</file>

<file path=xl/styles.xml><?xml version="1.0" encoding="utf-8"?>
<styleSheet xmlns="http://schemas.openxmlformats.org/spreadsheetml/2006/main" xml:space="preserve">
  <numFmts count="1">
    <numFmt numFmtId="164" formatCode="#,##0.0"/>
  </numFmts>
  <fonts count="6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  <font>
      <b val="0"/>
      <i val="0"/>
      <strike val="0"/>
      <u val="none"/>
      <sz val="8"/>
      <color rgb="ff198754"/>
      <name val="Calibri"/>
    </font>
    <font>
      <b val="0"/>
      <i val="0"/>
      <strike val="0"/>
      <u val="none"/>
      <sz val="8"/>
      <color rgb="ff967102"/>
      <name val="Calibri"/>
    </font>
    <font>
      <b val="0"/>
      <i val="0"/>
      <strike val="0"/>
      <u val="none"/>
      <sz val="8"/>
      <color rgb="ffdc3545"/>
      <name val="Calibri"/>
    </font>
    <font>
      <b val="0"/>
      <i val="0"/>
      <strike val="0"/>
      <u val="none"/>
      <sz val="8"/>
      <color rgb="ff9a1118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f3cd"/>
        <bgColor rgb="FF000000"/>
      </patternFill>
    </fill>
    <fill>
      <patternFill patternType="solid">
        <fgColor rgb="ffd1e7dd"/>
        <bgColor rgb="FF000000"/>
      </patternFill>
    </fill>
    <fill>
      <patternFill patternType="solid">
        <fgColor rgb="fff8d7da"/>
        <bgColor rgb="FF000000"/>
      </patternFill>
    </fill>
  </fills>
  <borders count="1">
    <border/>
  </borders>
  <cellStyleXfs count="1">
    <xf numFmtId="0" fontId="0" fillId="0" borderId="0"/>
  </cellStyleXfs>
  <cellXfs count="1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2" numFmtId="10" fillId="0" borderId="0" applyFont="1" applyNumberFormat="1" applyFill="0" applyBorder="0" applyAlignment="1">
      <alignment horizontal="right" vertical="center" textRotation="0" wrapText="false" shrinkToFit="false"/>
    </xf>
    <xf xfId="0" fontId="3" numFmtId="164" fillId="2" borderId="0" applyFont="1" applyNumberFormat="1" applyFill="1" applyBorder="0" applyAlignment="1">
      <alignment horizontal="center" vertical="center" textRotation="0" wrapText="false" shrinkToFit="false"/>
    </xf>
    <xf xfId="0" fontId="2" numFmtId="10" fillId="3" borderId="0" applyFont="1" applyNumberFormat="1" applyFill="1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4" numFmtId="10" fillId="0" borderId="0" applyFont="1" applyNumberFormat="1" applyFill="0" applyBorder="0" applyAlignment="1">
      <alignment horizontal="center" vertical="center" textRotation="0" wrapText="false" shrinkToFit="false"/>
    </xf>
    <xf xfId="0" fontId="4" numFmtId="0" fillId="0" borderId="0" applyFont="1" applyNumberFormat="0" applyFill="0" applyBorder="0" applyAlignment="1">
      <alignment horizontal="center" vertical="center" textRotation="0" wrapText="false" shrinkToFit="false"/>
    </xf>
    <xf xfId="0" fontId="4" numFmtId="10" fillId="0" borderId="0" applyFont="1" applyNumberFormat="1" applyFill="0" applyBorder="0" applyAlignment="1">
      <alignment horizontal="right" vertical="center" textRotation="0" wrapText="false" shrinkToFit="false"/>
    </xf>
    <xf xfId="0" fontId="0" numFmtId="10" fillId="0" borderId="0" applyFont="0" applyNumberFormat="1" applyFill="0" applyBorder="0" applyAlignment="1">
      <alignment horizontal="right" vertical="center" textRotation="0" wrapText="false" shrinkToFit="false"/>
    </xf>
    <xf xfId="0" fontId="5" numFmtId="10" fillId="0" borderId="0" applyFont="1" applyNumberFormat="1" applyFill="0" applyBorder="0" applyAlignment="1">
      <alignment horizontal="center" vertical="center" textRotation="0" wrapText="false" shrinkToFit="false"/>
    </xf>
    <xf xfId="0" fontId="4" numFmtId="164" fillId="4" borderId="0" applyFont="1" applyNumberFormat="1" applyFill="1" applyBorder="0" applyAlignment="1">
      <alignment horizontal="center" vertical="center" textRotation="0" wrapText="false" shrinkToFit="false"/>
    </xf>
    <xf xfId="0" fontId="5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4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W71"/>
  <sheetViews>
    <sheetView tabSelected="1" workbookViewId="0" showGridLines="true" showRowColHeaders="1">
      <pane xSplit="4" ySplit="2" topLeftCell="E3" activePane="bottomRight" state="frozen"/>
      <selection pane="topRight"/>
      <selection pane="bottomLeft"/>
      <selection pane="bottomRight" activeCell="AW71" sqref="AW71"/>
    </sheetView>
  </sheetViews>
  <sheetFormatPr defaultRowHeight="14.4" defaultColWidth="13" outlineLevelRow="0" outlineLevelCol="0"/>
  <cols>
    <col min="1" max="1" width="6" customWidth="true" style="0"/>
    <col min="2" max="2" width="15" customWidth="true" style="0"/>
    <col min="3" max="3" width="40" customWidth="true" style="0"/>
    <col min="4" max="4" width="9" customWidth="true" style="0"/>
    <col min="5" max="5" width="12" customWidth="true" style="0"/>
    <col min="6" max="6" width="12" customWidth="true" style="0"/>
    <col min="7" max="7" width="12" customWidth="true" style="0"/>
    <col min="8" max="8" width="12" customWidth="true" style="0"/>
    <col min="9" max="9" width="12" customWidth="true" style="0"/>
    <col min="10" max="10" width="12" customWidth="true" style="0"/>
    <col min="11" max="11" width="12" customWidth="true" style="0"/>
    <col min="12" max="12" width="12" customWidth="true" style="0"/>
    <col min="13" max="13" width="12" customWidth="true" style="0"/>
    <col min="14" max="14" width="12" customWidth="true" style="0"/>
    <col min="15" max="15" width="12" customWidth="true" style="0"/>
    <col min="16" max="16" width="12" customWidth="true" style="0"/>
    <col min="17" max="17" width="12" customWidth="true" style="0"/>
    <col min="18" max="18" width="13" style="0"/>
    <col min="19" max="19" width="12" customWidth="true" style="0"/>
    <col min="20" max="20" width="15" customWidth="true" style="0"/>
    <col min="21" max="21" width="12" customWidth="true" style="0"/>
    <col min="22" max="22" width="15" customWidth="true" style="0"/>
    <col min="23" max="23" width="18" customWidth="true" style="0"/>
    <col min="24" max="24" width="15" customWidth="true" style="0"/>
    <col min="25" max="25" width="17" customWidth="true" style="0"/>
    <col min="26" max="26" width="12" customWidth="true" style="0"/>
    <col min="27" max="27" width="15" customWidth="true" style="0"/>
    <col min="28" max="28" width="12" customWidth="true" style="0"/>
    <col min="29" max="29" width="15" customWidth="true" style="0"/>
    <col min="30" max="30" width="18" customWidth="true" style="0"/>
    <col min="31" max="31" width="18" customWidth="true" style="0"/>
    <col min="32" max="32" width="18" customWidth="true" style="0"/>
    <col min="33" max="33" width="12" customWidth="true" style="0"/>
    <col min="34" max="34" width="12" customWidth="true" style="0"/>
    <col min="35" max="35" width="18" customWidth="true" style="0"/>
    <col min="36" max="36" width="15" customWidth="true" style="0"/>
    <col min="37" max="37" width="18" customWidth="true" style="0"/>
    <col min="38" max="38" width="15" customWidth="true" style="0"/>
    <col min="39" max="39" width="17" customWidth="true" style="0"/>
    <col min="40" max="40" width="12" customWidth="true" style="0"/>
    <col min="41" max="41" width="15" customWidth="true" style="0"/>
    <col min="42" max="42" width="12" customWidth="true" style="0"/>
    <col min="43" max="43" width="15" customWidth="true" style="0"/>
    <col min="44" max="44" width="15" customWidth="true" style="0"/>
    <col min="45" max="45" width="15" customWidth="true" style="0"/>
    <col min="46" max="46" width="15" customWidth="true" style="0"/>
    <col min="47" max="47" width="15" customWidth="true" style="0"/>
    <col min="48" max="48" width="15" customWidth="true" style="0"/>
    <col min="49" max="49" width="18" customWidth="true" style="0"/>
  </cols>
  <sheetData>
    <row r="1" spans="1:49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7</v>
      </c>
      <c r="H1" s="1"/>
      <c r="I1" s="1" t="s">
        <v>8</v>
      </c>
      <c r="J1" s="1"/>
      <c r="K1" s="1" t="s">
        <v>9</v>
      </c>
      <c r="L1" s="1"/>
      <c r="M1" s="1"/>
      <c r="N1" s="1" t="s">
        <v>11</v>
      </c>
      <c r="O1" s="1"/>
      <c r="P1" s="1" t="s">
        <v>14</v>
      </c>
      <c r="Q1" s="1"/>
      <c r="R1" s="1" t="s">
        <v>15</v>
      </c>
      <c r="S1" s="1"/>
      <c r="T1" s="1"/>
      <c r="U1" s="1"/>
      <c r="V1" s="1" t="s">
        <v>20</v>
      </c>
      <c r="W1" s="1"/>
      <c r="X1" s="1"/>
      <c r="Y1" s="1"/>
      <c r="Z1" s="1"/>
      <c r="AA1" s="1"/>
      <c r="AB1" s="1"/>
      <c r="AC1" s="1" t="s">
        <v>28</v>
      </c>
      <c r="AD1" s="1"/>
      <c r="AE1" s="1"/>
      <c r="AF1" s="1"/>
      <c r="AG1" s="1"/>
      <c r="AH1" s="1"/>
      <c r="AI1" s="1"/>
      <c r="AJ1" s="1" t="s">
        <v>36</v>
      </c>
      <c r="AK1" s="1"/>
      <c r="AL1" s="1"/>
      <c r="AM1" s="1"/>
      <c r="AN1" s="1"/>
      <c r="AO1" s="1"/>
      <c r="AP1" s="1"/>
      <c r="AQ1" s="1" t="s">
        <v>37</v>
      </c>
    </row>
    <row r="2" spans="1:49" customHeight="1" ht="36">
      <c r="E2" s="2" t="s">
        <v>5</v>
      </c>
      <c r="F2" s="2" t="s">
        <v>6</v>
      </c>
      <c r="G2" s="2" t="s">
        <v>5</v>
      </c>
      <c r="H2" s="2" t="s">
        <v>6</v>
      </c>
      <c r="I2" s="2" t="s">
        <v>5</v>
      </c>
      <c r="J2" s="2" t="s">
        <v>6</v>
      </c>
      <c r="K2" s="2" t="s">
        <v>5</v>
      </c>
      <c r="L2" s="2" t="s">
        <v>6</v>
      </c>
      <c r="M2" s="2" t="s">
        <v>10</v>
      </c>
      <c r="N2" s="2" t="s">
        <v>12</v>
      </c>
      <c r="O2" s="2" t="s">
        <v>13</v>
      </c>
      <c r="P2" s="2" t="s">
        <v>12</v>
      </c>
      <c r="Q2" s="2" t="s">
        <v>13</v>
      </c>
      <c r="R2" s="2" t="s">
        <v>16</v>
      </c>
      <c r="S2" s="2" t="s">
        <v>17</v>
      </c>
      <c r="T2" s="2" t="s">
        <v>18</v>
      </c>
      <c r="U2" s="2" t="s">
        <v>19</v>
      </c>
      <c r="V2" s="2" t="s">
        <v>21</v>
      </c>
      <c r="W2" s="2" t="s">
        <v>22</v>
      </c>
      <c r="X2" s="2" t="s">
        <v>23</v>
      </c>
      <c r="Y2" s="2" t="s">
        <v>24</v>
      </c>
      <c r="Z2" s="2" t="s">
        <v>25</v>
      </c>
      <c r="AA2" s="2" t="s">
        <v>26</v>
      </c>
      <c r="AB2" s="1" t="s">
        <v>27</v>
      </c>
      <c r="AC2" s="2" t="s">
        <v>29</v>
      </c>
      <c r="AD2" s="2" t="s">
        <v>30</v>
      </c>
      <c r="AE2" s="2" t="s">
        <v>31</v>
      </c>
      <c r="AF2" s="2" t="s">
        <v>32</v>
      </c>
      <c r="AG2" s="2" t="s">
        <v>33</v>
      </c>
      <c r="AH2" s="2" t="s">
        <v>34</v>
      </c>
      <c r="AI2" s="2" t="s">
        <v>35</v>
      </c>
      <c r="AJ2" s="2" t="s">
        <v>21</v>
      </c>
      <c r="AK2" s="2" t="s">
        <v>22</v>
      </c>
      <c r="AL2" s="2" t="s">
        <v>23</v>
      </c>
      <c r="AM2" s="2" t="s">
        <v>24</v>
      </c>
      <c r="AN2" s="2" t="s">
        <v>25</v>
      </c>
      <c r="AO2" s="2" t="s">
        <v>26</v>
      </c>
      <c r="AP2" s="1" t="s">
        <v>27</v>
      </c>
      <c r="AQ2" s="2" t="s">
        <v>38</v>
      </c>
      <c r="AR2" s="2" t="s">
        <v>39</v>
      </c>
      <c r="AS2" s="2" t="s">
        <v>40</v>
      </c>
      <c r="AT2" s="2" t="s">
        <v>41</v>
      </c>
      <c r="AU2" s="2" t="s">
        <v>42</v>
      </c>
      <c r="AV2" s="2" t="s">
        <v>34</v>
      </c>
      <c r="AW2" s="2" t="s">
        <v>35</v>
      </c>
    </row>
    <row r="3" spans="1:49">
      <c r="A3" s="3">
        <v>1</v>
      </c>
      <c r="B3" s="3" t="s">
        <v>43</v>
      </c>
      <c r="C3" t="s">
        <v>44</v>
      </c>
      <c r="D3" s="3" t="s">
        <v>45</v>
      </c>
      <c r="E3" s="4">
        <v>290.0</v>
      </c>
      <c r="F3" s="5">
        <v>83460.0</v>
      </c>
      <c r="G3" s="4">
        <v>400.0</v>
      </c>
      <c r="H3" s="5">
        <v>161274.0</v>
      </c>
      <c r="I3" s="4">
        <v>30.0</v>
      </c>
      <c r="J3" s="5">
        <v>12519.0</v>
      </c>
      <c r="K3" s="4">
        <v>441.636356</v>
      </c>
      <c r="L3" s="5">
        <v>184294.851359</v>
      </c>
      <c r="M3" s="6">
        <v>0.094277464783719</v>
      </c>
      <c r="N3" s="4">
        <v>357.0</v>
      </c>
      <c r="O3" s="4">
        <v>31.545454</v>
      </c>
      <c r="P3" s="4">
        <v>22.0</v>
      </c>
      <c r="Q3" s="4">
        <v>20.0</v>
      </c>
      <c r="R3" s="4">
        <v>1.0</v>
      </c>
      <c r="S3" s="5">
        <v>417.3</v>
      </c>
      <c r="T3" s="4">
        <v>56.666666</v>
      </c>
      <c r="U3" s="7">
        <v>0.017647059031142</v>
      </c>
      <c r="V3" s="5">
        <v>139581.011</v>
      </c>
      <c r="W3" s="5">
        <v>390.98322408964</v>
      </c>
      <c r="X3" s="5">
        <v>199506.146</v>
      </c>
      <c r="Y3" s="5">
        <v>558.84074509804</v>
      </c>
      <c r="Z3" s="5">
        <v>59925.135</v>
      </c>
      <c r="AA3" s="5">
        <v>167.8575210084</v>
      </c>
      <c r="AB3" s="8">
        <v>0.30036736311873</v>
      </c>
      <c r="AC3" s="4">
        <v>357.0</v>
      </c>
      <c r="AD3" s="9">
        <v>0</v>
      </c>
      <c r="AE3" s="9">
        <v>0</v>
      </c>
      <c r="AF3" s="9">
        <v>0</v>
      </c>
      <c r="AG3" s="3">
        <v>0</v>
      </c>
      <c r="AH3" s="9">
        <v>0</v>
      </c>
      <c r="AI3" s="9">
        <v>0</v>
      </c>
      <c r="AJ3" s="5">
        <v>8580.0</v>
      </c>
      <c r="AK3" s="5">
        <v>390.0</v>
      </c>
      <c r="AL3" s="5">
        <v>12149.58</v>
      </c>
      <c r="AM3" s="5">
        <v>552.25363636364</v>
      </c>
      <c r="AN3" s="5">
        <v>3569.58</v>
      </c>
      <c r="AO3" s="5">
        <v>162.25363636364</v>
      </c>
      <c r="AP3" s="8">
        <v>0.29380274873699</v>
      </c>
      <c r="AQ3" s="4">
        <v>22.0</v>
      </c>
      <c r="AR3" s="9">
        <v>0</v>
      </c>
      <c r="AS3" s="9">
        <v>0</v>
      </c>
      <c r="AT3" s="9">
        <v>0</v>
      </c>
      <c r="AU3" s="3">
        <v>0</v>
      </c>
      <c r="AV3" s="9">
        <v>0</v>
      </c>
      <c r="AW3" s="9">
        <v>0</v>
      </c>
    </row>
    <row r="4" spans="1:49">
      <c r="A4" s="3">
        <v>2</v>
      </c>
      <c r="B4" s="3" t="s">
        <v>46</v>
      </c>
      <c r="C4" t="s">
        <v>47</v>
      </c>
      <c r="D4" s="3" t="s">
        <v>48</v>
      </c>
      <c r="E4" s="4">
        <v>20.0</v>
      </c>
      <c r="F4" s="5">
        <v>44871.25</v>
      </c>
      <c r="G4" s="4">
        <v>24.0</v>
      </c>
      <c r="H4" s="5">
        <v>52440.0</v>
      </c>
      <c r="I4" s="9">
        <v>0</v>
      </c>
      <c r="J4" s="9">
        <v>0</v>
      </c>
      <c r="K4" s="4">
        <v>31.818178</v>
      </c>
      <c r="L4" s="5">
        <v>69045.44626</v>
      </c>
      <c r="M4" s="6">
        <v>0.24571419519999</v>
      </c>
      <c r="N4" s="4">
        <v>25.0</v>
      </c>
      <c r="O4" s="4">
        <v>2.272727</v>
      </c>
      <c r="P4" s="9">
        <v>0</v>
      </c>
      <c r="Q4" s="9">
        <v>0</v>
      </c>
      <c r="R4" s="4">
        <v>8.0</v>
      </c>
      <c r="S4" s="5">
        <v>17360.0</v>
      </c>
      <c r="T4" s="4">
        <v>4.166666</v>
      </c>
      <c r="U4" s="7">
        <v>1.9200003072</v>
      </c>
      <c r="V4" s="5">
        <v>56359.12</v>
      </c>
      <c r="W4" s="5">
        <v>2254.3648</v>
      </c>
      <c r="X4" s="5">
        <v>68012.522</v>
      </c>
      <c r="Y4" s="5">
        <v>2720.50088</v>
      </c>
      <c r="Z4" s="5">
        <v>11653.402</v>
      </c>
      <c r="AA4" s="5">
        <v>466.13608</v>
      </c>
      <c r="AB4" s="10">
        <v>0.17134200669694</v>
      </c>
      <c r="AC4" s="4">
        <v>25.0</v>
      </c>
      <c r="AD4" s="9">
        <v>0</v>
      </c>
      <c r="AE4" s="9">
        <v>0</v>
      </c>
      <c r="AF4" s="9">
        <v>0</v>
      </c>
      <c r="AG4" s="3">
        <v>0</v>
      </c>
      <c r="AH4" s="9">
        <v>0</v>
      </c>
      <c r="AI4" s="9">
        <v>0</v>
      </c>
      <c r="AJ4" s="9">
        <v>0</v>
      </c>
      <c r="AK4" s="9">
        <v>0</v>
      </c>
      <c r="AL4" s="9">
        <v>0</v>
      </c>
      <c r="AM4" s="9">
        <v>0</v>
      </c>
      <c r="AN4" s="9">
        <v>0</v>
      </c>
      <c r="AO4" s="9">
        <v>0</v>
      </c>
      <c r="AP4" s="3">
        <v>0</v>
      </c>
      <c r="AQ4" s="9">
        <v>0</v>
      </c>
      <c r="AR4" s="9">
        <v>0</v>
      </c>
      <c r="AS4" s="9">
        <v>0</v>
      </c>
      <c r="AT4" s="9">
        <v>0</v>
      </c>
      <c r="AU4" s="3">
        <v>0</v>
      </c>
      <c r="AV4" s="9">
        <v>0</v>
      </c>
      <c r="AW4" s="9">
        <v>0</v>
      </c>
    </row>
    <row r="5" spans="1:49">
      <c r="A5" s="3">
        <v>3</v>
      </c>
      <c r="B5" s="3" t="s">
        <v>49</v>
      </c>
      <c r="C5" t="s">
        <v>50</v>
      </c>
      <c r="D5" s="3" t="s">
        <v>51</v>
      </c>
      <c r="E5" s="4">
        <v>2800.0</v>
      </c>
      <c r="F5" s="5">
        <v>68908.0</v>
      </c>
      <c r="G5" s="4">
        <v>2000.0</v>
      </c>
      <c r="H5" s="5">
        <v>49220.0</v>
      </c>
      <c r="I5" s="4">
        <v>500.0</v>
      </c>
      <c r="J5" s="5">
        <v>12840.0</v>
      </c>
      <c r="K5" s="4">
        <v>2416.909082</v>
      </c>
      <c r="L5" s="5">
        <v>62066.225226</v>
      </c>
      <c r="M5" s="6">
        <v>0.17249679977825</v>
      </c>
      <c r="N5" s="4">
        <v>2035.0</v>
      </c>
      <c r="O5" s="4">
        <v>172.636363</v>
      </c>
      <c r="P5" s="4">
        <v>265.0</v>
      </c>
      <c r="Q5" s="4">
        <v>136.0</v>
      </c>
      <c r="R5" s="4">
        <v>41.0</v>
      </c>
      <c r="S5" s="5">
        <v>1052.88</v>
      </c>
      <c r="T5" s="4">
        <v>335.833333</v>
      </c>
      <c r="U5" s="7">
        <v>0.12208436736683</v>
      </c>
      <c r="V5" s="5">
        <v>46707.6</v>
      </c>
      <c r="W5" s="5">
        <v>22.952137592138</v>
      </c>
      <c r="X5" s="5">
        <v>94457.0</v>
      </c>
      <c r="Y5" s="5">
        <v>46.416216216216</v>
      </c>
      <c r="Z5" s="5">
        <v>47749.4</v>
      </c>
      <c r="AA5" s="5">
        <v>23.464078624079</v>
      </c>
      <c r="AB5" s="8">
        <v>0.50551467863684</v>
      </c>
      <c r="AC5" s="4">
        <v>2035.0</v>
      </c>
      <c r="AD5" s="9">
        <v>0</v>
      </c>
      <c r="AE5" s="9">
        <v>0</v>
      </c>
      <c r="AF5" s="9">
        <v>0</v>
      </c>
      <c r="AG5" s="3">
        <v>0</v>
      </c>
      <c r="AH5" s="9">
        <v>0</v>
      </c>
      <c r="AI5" s="9">
        <v>0</v>
      </c>
      <c r="AJ5" s="5">
        <v>6095.0</v>
      </c>
      <c r="AK5" s="5">
        <v>23.0</v>
      </c>
      <c r="AL5" s="5">
        <v>12416.71</v>
      </c>
      <c r="AM5" s="5">
        <v>46.855509433962</v>
      </c>
      <c r="AN5" s="5">
        <v>6321.71</v>
      </c>
      <c r="AO5" s="5">
        <v>23.855509433962</v>
      </c>
      <c r="AP5" s="8">
        <v>0.50912922988457</v>
      </c>
      <c r="AQ5" s="4">
        <v>265.0</v>
      </c>
      <c r="AR5" s="9">
        <v>0</v>
      </c>
      <c r="AS5" s="9">
        <v>0</v>
      </c>
      <c r="AT5" s="9">
        <v>0</v>
      </c>
      <c r="AU5" s="3">
        <v>0</v>
      </c>
      <c r="AV5" s="9">
        <v>0</v>
      </c>
      <c r="AW5" s="9">
        <v>0</v>
      </c>
    </row>
    <row r="6" spans="1:49">
      <c r="A6" s="3">
        <v>4</v>
      </c>
      <c r="B6" s="3" t="s">
        <v>52</v>
      </c>
      <c r="C6" t="s">
        <v>53</v>
      </c>
      <c r="D6" s="3" t="s">
        <v>51</v>
      </c>
      <c r="E6" s="4">
        <v>1500.0</v>
      </c>
      <c r="F6" s="5">
        <v>36915.0</v>
      </c>
      <c r="G6" s="4">
        <v>1500.0</v>
      </c>
      <c r="H6" s="5">
        <v>36915.0</v>
      </c>
      <c r="I6" s="9">
        <v>0</v>
      </c>
      <c r="J6" s="9">
        <v>0</v>
      </c>
      <c r="K6" s="4">
        <v>1751.272726</v>
      </c>
      <c r="L6" s="5">
        <v>43098.821787</v>
      </c>
      <c r="M6" s="6">
        <v>0.14348006582271</v>
      </c>
      <c r="N6" s="4">
        <v>1448.0</v>
      </c>
      <c r="O6" s="4">
        <v>125.090909</v>
      </c>
      <c r="P6" s="4">
        <v>101.0</v>
      </c>
      <c r="Q6" s="4">
        <v>62.0</v>
      </c>
      <c r="R6" s="4">
        <v>378.0</v>
      </c>
      <c r="S6" s="5">
        <v>9302.58</v>
      </c>
      <c r="T6" s="4">
        <v>239.166666</v>
      </c>
      <c r="U6" s="7">
        <v>1.5804878092836</v>
      </c>
      <c r="V6" s="5">
        <v>32667.611</v>
      </c>
      <c r="W6" s="5">
        <v>22.560504834254</v>
      </c>
      <c r="X6" s="5">
        <v>61532.2</v>
      </c>
      <c r="Y6" s="5">
        <v>42.494613259669</v>
      </c>
      <c r="Z6" s="5">
        <v>28864.589</v>
      </c>
      <c r="AA6" s="5">
        <v>19.934108425414</v>
      </c>
      <c r="AB6" s="8">
        <v>0.46909730190047</v>
      </c>
      <c r="AC6" s="4">
        <v>1448.0</v>
      </c>
      <c r="AD6" s="9">
        <v>0</v>
      </c>
      <c r="AE6" s="9">
        <v>0</v>
      </c>
      <c r="AF6" s="9">
        <v>0</v>
      </c>
      <c r="AG6" s="3">
        <v>0</v>
      </c>
      <c r="AH6" s="9">
        <v>0</v>
      </c>
      <c r="AI6" s="9">
        <v>0</v>
      </c>
      <c r="AJ6" s="5">
        <v>2323.0</v>
      </c>
      <c r="AK6" s="5">
        <v>23.0</v>
      </c>
      <c r="AL6" s="5">
        <v>3670.63</v>
      </c>
      <c r="AM6" s="5">
        <v>36.342871287129</v>
      </c>
      <c r="AN6" s="5">
        <v>1347.63</v>
      </c>
      <c r="AO6" s="5">
        <v>13.342871287129</v>
      </c>
      <c r="AP6" s="8">
        <v>0.36713861108311</v>
      </c>
      <c r="AQ6" s="4">
        <v>101.0</v>
      </c>
      <c r="AR6" s="9">
        <v>0</v>
      </c>
      <c r="AS6" s="9">
        <v>0</v>
      </c>
      <c r="AT6" s="9">
        <v>0</v>
      </c>
      <c r="AU6" s="3">
        <v>0</v>
      </c>
      <c r="AV6" s="9">
        <v>0</v>
      </c>
      <c r="AW6" s="9">
        <v>0</v>
      </c>
    </row>
    <row r="7" spans="1:49">
      <c r="A7" s="3">
        <v>5</v>
      </c>
      <c r="B7" s="3" t="s">
        <v>54</v>
      </c>
      <c r="C7" t="s">
        <v>55</v>
      </c>
      <c r="D7" s="3" t="s">
        <v>48</v>
      </c>
      <c r="E7" s="9">
        <v>0</v>
      </c>
      <c r="F7" s="9">
        <v>0</v>
      </c>
      <c r="G7" s="4">
        <v>150.0</v>
      </c>
      <c r="H7" s="5">
        <v>20250.0</v>
      </c>
      <c r="I7" s="9">
        <v>0</v>
      </c>
      <c r="J7" s="9">
        <v>0</v>
      </c>
      <c r="K7" s="4">
        <v>169.272726</v>
      </c>
      <c r="L7" s="5">
        <v>16927.2726</v>
      </c>
      <c r="M7" s="6">
        <v>0.11385606208055</v>
      </c>
      <c r="N7" s="4">
        <v>133.0</v>
      </c>
      <c r="O7" s="4">
        <v>12.090909</v>
      </c>
      <c r="P7" s="9">
        <v>0</v>
      </c>
      <c r="Q7" s="9">
        <v>0</v>
      </c>
      <c r="R7" s="9">
        <v>0</v>
      </c>
      <c r="S7" s="9">
        <v>0</v>
      </c>
      <c r="T7" s="4">
        <v>22.166666</v>
      </c>
      <c r="U7" s="11" t="s">
        <v>56</v>
      </c>
      <c r="V7" s="5">
        <v>16704.91</v>
      </c>
      <c r="W7" s="5">
        <v>125.60082706767</v>
      </c>
      <c r="X7" s="5">
        <v>24495.484</v>
      </c>
      <c r="Y7" s="5">
        <v>184.17657142857</v>
      </c>
      <c r="Z7" s="5">
        <v>7790.574</v>
      </c>
      <c r="AA7" s="5">
        <v>58.575744360902</v>
      </c>
      <c r="AB7" s="8">
        <v>0.31804123568246</v>
      </c>
      <c r="AC7" s="4">
        <v>133.0</v>
      </c>
      <c r="AD7" s="9">
        <v>0</v>
      </c>
      <c r="AE7" s="9">
        <v>0</v>
      </c>
      <c r="AF7" s="9">
        <v>0</v>
      </c>
      <c r="AG7" s="3">
        <v>0</v>
      </c>
      <c r="AH7" s="9">
        <v>0</v>
      </c>
      <c r="AI7" s="9">
        <v>0</v>
      </c>
      <c r="AJ7" s="9">
        <v>0</v>
      </c>
      <c r="AK7" s="9">
        <v>0</v>
      </c>
      <c r="AL7" s="9">
        <v>0</v>
      </c>
      <c r="AM7" s="9">
        <v>0</v>
      </c>
      <c r="AN7" s="9">
        <v>0</v>
      </c>
      <c r="AO7" s="9">
        <v>0</v>
      </c>
      <c r="AP7" s="3">
        <v>0</v>
      </c>
      <c r="AQ7" s="9">
        <v>0</v>
      </c>
      <c r="AR7" s="9">
        <v>0</v>
      </c>
      <c r="AS7" s="9">
        <v>0</v>
      </c>
      <c r="AT7" s="9">
        <v>0</v>
      </c>
      <c r="AU7" s="3">
        <v>0</v>
      </c>
      <c r="AV7" s="9">
        <v>0</v>
      </c>
      <c r="AW7" s="9">
        <v>0</v>
      </c>
    </row>
    <row r="8" spans="1:49">
      <c r="A8" s="3">
        <v>6</v>
      </c>
      <c r="B8" s="3" t="s">
        <v>57</v>
      </c>
      <c r="C8" t="s">
        <v>58</v>
      </c>
      <c r="D8" s="3" t="s">
        <v>59</v>
      </c>
      <c r="E8" s="9">
        <v>0</v>
      </c>
      <c r="F8" s="9">
        <v>0</v>
      </c>
      <c r="G8" s="4">
        <v>60.0</v>
      </c>
      <c r="H8" s="5">
        <v>16050.0</v>
      </c>
      <c r="I8" s="9">
        <v>0</v>
      </c>
      <c r="J8" s="9">
        <v>0</v>
      </c>
      <c r="K8" s="4">
        <v>76.36363</v>
      </c>
      <c r="L8" s="5">
        <v>20427.271025</v>
      </c>
      <c r="M8" s="6">
        <v>0.21428564880952</v>
      </c>
      <c r="N8" s="4">
        <v>60.0</v>
      </c>
      <c r="O8" s="4">
        <v>5.454545</v>
      </c>
      <c r="P8" s="9">
        <v>0</v>
      </c>
      <c r="Q8" s="9">
        <v>0</v>
      </c>
      <c r="R8" s="9">
        <v>0</v>
      </c>
      <c r="S8" s="9">
        <v>0</v>
      </c>
      <c r="T8" s="4">
        <v>10.0</v>
      </c>
      <c r="U8" s="11" t="s">
        <v>56</v>
      </c>
      <c r="V8" s="9">
        <v>0</v>
      </c>
      <c r="W8" s="5">
        <v>0.0</v>
      </c>
      <c r="X8" s="5">
        <v>19626.09</v>
      </c>
      <c r="Y8" s="5">
        <v>327.1015</v>
      </c>
      <c r="Z8" s="5">
        <v>19626.09</v>
      </c>
      <c r="AA8" s="5">
        <v>327.1015</v>
      </c>
      <c r="AB8" s="8">
        <v>1.0</v>
      </c>
      <c r="AC8" s="4">
        <v>60.0</v>
      </c>
      <c r="AD8" s="9">
        <v>0</v>
      </c>
      <c r="AE8" s="9">
        <v>0</v>
      </c>
      <c r="AF8" s="9">
        <v>0</v>
      </c>
      <c r="AG8" s="3">
        <v>0</v>
      </c>
      <c r="AH8" s="9">
        <v>0</v>
      </c>
      <c r="AI8" s="9">
        <v>0</v>
      </c>
      <c r="AJ8" s="9">
        <v>0</v>
      </c>
      <c r="AK8" s="9">
        <v>0</v>
      </c>
      <c r="AL8" s="9">
        <v>0</v>
      </c>
      <c r="AM8" s="9">
        <v>0</v>
      </c>
      <c r="AN8" s="9">
        <v>0</v>
      </c>
      <c r="AO8" s="9">
        <v>0</v>
      </c>
      <c r="AP8" s="3">
        <v>0</v>
      </c>
      <c r="AQ8" s="9">
        <v>0</v>
      </c>
      <c r="AR8" s="9">
        <v>0</v>
      </c>
      <c r="AS8" s="9">
        <v>0</v>
      </c>
      <c r="AT8" s="9">
        <v>0</v>
      </c>
      <c r="AU8" s="3">
        <v>0</v>
      </c>
      <c r="AV8" s="9">
        <v>0</v>
      </c>
      <c r="AW8" s="9">
        <v>0</v>
      </c>
    </row>
    <row r="9" spans="1:49">
      <c r="A9" s="3">
        <v>7</v>
      </c>
      <c r="B9" s="3" t="s">
        <v>60</v>
      </c>
      <c r="C9" t="s">
        <v>61</v>
      </c>
      <c r="D9" s="3" t="s">
        <v>45</v>
      </c>
      <c r="E9" s="9">
        <v>0</v>
      </c>
      <c r="F9" s="9">
        <v>0</v>
      </c>
      <c r="G9" s="4">
        <v>4.0</v>
      </c>
      <c r="H9" s="5">
        <v>15000.0</v>
      </c>
      <c r="I9" s="9">
        <v>0</v>
      </c>
      <c r="J9" s="9">
        <v>0</v>
      </c>
      <c r="K9" s="4">
        <v>2.545452</v>
      </c>
      <c r="L9" s="5">
        <v>9545.445</v>
      </c>
      <c r="M9" s="12">
        <v>-0.57143014285871</v>
      </c>
      <c r="N9" s="4">
        <v>2.0</v>
      </c>
      <c r="O9" s="4">
        <v>0.181818</v>
      </c>
      <c r="P9" s="9">
        <v>0</v>
      </c>
      <c r="Q9" s="9">
        <v>0</v>
      </c>
      <c r="R9" s="9">
        <v>0</v>
      </c>
      <c r="S9" s="9">
        <v>0</v>
      </c>
      <c r="T9" s="4">
        <v>0.333333</v>
      </c>
      <c r="U9" s="11" t="s">
        <v>56</v>
      </c>
      <c r="V9" s="5">
        <v>7009.35</v>
      </c>
      <c r="W9" s="5">
        <v>3504.675</v>
      </c>
      <c r="X9" s="5">
        <v>8766.356</v>
      </c>
      <c r="Y9" s="5">
        <v>4383.178</v>
      </c>
      <c r="Z9" s="5">
        <v>1757.006</v>
      </c>
      <c r="AA9" s="5">
        <v>878.503</v>
      </c>
      <c r="AB9" s="10">
        <v>0.20042603791131</v>
      </c>
      <c r="AC9" s="4">
        <v>2.0</v>
      </c>
      <c r="AD9" s="9">
        <v>0</v>
      </c>
      <c r="AE9" s="9">
        <v>0</v>
      </c>
      <c r="AF9" s="9">
        <v>0</v>
      </c>
      <c r="AG9" s="3">
        <v>0</v>
      </c>
      <c r="AH9" s="9">
        <v>0</v>
      </c>
      <c r="AI9" s="9">
        <v>0</v>
      </c>
      <c r="AJ9" s="9">
        <v>0</v>
      </c>
      <c r="AK9" s="9">
        <v>0</v>
      </c>
      <c r="AL9" s="9">
        <v>0</v>
      </c>
      <c r="AM9" s="9">
        <v>0</v>
      </c>
      <c r="AN9" s="9">
        <v>0</v>
      </c>
      <c r="AO9" s="9">
        <v>0</v>
      </c>
      <c r="AP9" s="3">
        <v>0</v>
      </c>
      <c r="AQ9" s="9">
        <v>0</v>
      </c>
      <c r="AR9" s="9">
        <v>0</v>
      </c>
      <c r="AS9" s="9">
        <v>0</v>
      </c>
      <c r="AT9" s="9">
        <v>0</v>
      </c>
      <c r="AU9" s="3">
        <v>0</v>
      </c>
      <c r="AV9" s="9">
        <v>0</v>
      </c>
      <c r="AW9" s="9">
        <v>0</v>
      </c>
    </row>
    <row r="10" spans="1:49">
      <c r="A10" s="3">
        <v>8</v>
      </c>
      <c r="B10" s="3" t="s">
        <v>62</v>
      </c>
      <c r="C10" t="s">
        <v>63</v>
      </c>
      <c r="D10" s="3" t="s">
        <v>64</v>
      </c>
      <c r="E10" s="9">
        <v>0</v>
      </c>
      <c r="F10" s="9">
        <v>0</v>
      </c>
      <c r="G10" s="4">
        <v>3.0</v>
      </c>
      <c r="H10" s="5">
        <v>14400.0</v>
      </c>
      <c r="I10" s="9">
        <v>0</v>
      </c>
      <c r="J10" s="9">
        <v>0</v>
      </c>
      <c r="K10" s="4">
        <v>3.818178</v>
      </c>
      <c r="L10" s="5">
        <v>18327.2544</v>
      </c>
      <c r="M10" s="6">
        <v>0.21428492857064</v>
      </c>
      <c r="N10" s="4">
        <v>3.0</v>
      </c>
      <c r="O10" s="4">
        <v>0.272727</v>
      </c>
      <c r="P10" s="9">
        <v>0</v>
      </c>
      <c r="Q10" s="9">
        <v>0</v>
      </c>
      <c r="R10" s="9">
        <v>0</v>
      </c>
      <c r="S10" s="9">
        <v>0</v>
      </c>
      <c r="T10" s="4">
        <v>0.5</v>
      </c>
      <c r="U10" s="11" t="s">
        <v>56</v>
      </c>
      <c r="V10" s="5">
        <v>13457.94</v>
      </c>
      <c r="W10" s="5">
        <v>4485.98</v>
      </c>
      <c r="X10" s="5">
        <v>18785.046</v>
      </c>
      <c r="Y10" s="5">
        <v>6261.682</v>
      </c>
      <c r="Z10" s="5">
        <v>5327.106</v>
      </c>
      <c r="AA10" s="5">
        <v>1775.702</v>
      </c>
      <c r="AB10" s="8">
        <v>0.28358227070618</v>
      </c>
      <c r="AC10" s="4">
        <v>3.0</v>
      </c>
      <c r="AD10" s="9">
        <v>0</v>
      </c>
      <c r="AE10" s="9">
        <v>0</v>
      </c>
      <c r="AF10" s="9">
        <v>0</v>
      </c>
      <c r="AG10" s="3">
        <v>0</v>
      </c>
      <c r="AH10" s="9">
        <v>0</v>
      </c>
      <c r="AI10" s="9">
        <v>0</v>
      </c>
      <c r="AJ10" s="9">
        <v>0</v>
      </c>
      <c r="AK10" s="9">
        <v>0</v>
      </c>
      <c r="AL10" s="9">
        <v>0</v>
      </c>
      <c r="AM10" s="9">
        <v>0</v>
      </c>
      <c r="AN10" s="9">
        <v>0</v>
      </c>
      <c r="AO10" s="9">
        <v>0</v>
      </c>
      <c r="AP10" s="3">
        <v>0</v>
      </c>
      <c r="AQ10" s="9">
        <v>0</v>
      </c>
      <c r="AR10" s="9">
        <v>0</v>
      </c>
      <c r="AS10" s="9">
        <v>0</v>
      </c>
      <c r="AT10" s="9">
        <v>0</v>
      </c>
      <c r="AU10" s="3">
        <v>0</v>
      </c>
      <c r="AV10" s="9">
        <v>0</v>
      </c>
      <c r="AW10" s="9">
        <v>0</v>
      </c>
    </row>
    <row r="11" spans="1:49">
      <c r="A11" s="3">
        <v>9</v>
      </c>
      <c r="B11" s="3" t="s">
        <v>65</v>
      </c>
      <c r="C11" t="s">
        <v>66</v>
      </c>
      <c r="D11" s="3" t="s">
        <v>64</v>
      </c>
      <c r="E11" s="9">
        <v>0</v>
      </c>
      <c r="F11" s="9">
        <v>0</v>
      </c>
      <c r="G11" s="4">
        <v>3.0</v>
      </c>
      <c r="H11" s="5">
        <v>8985.0</v>
      </c>
      <c r="I11" s="9">
        <v>0</v>
      </c>
      <c r="J11" s="9">
        <v>0</v>
      </c>
      <c r="K11" s="4">
        <v>16.545452</v>
      </c>
      <c r="L11" s="5">
        <v>47826.283551</v>
      </c>
      <c r="M11" s="6">
        <v>0.81868129078613</v>
      </c>
      <c r="N11" s="4">
        <v>13.0</v>
      </c>
      <c r="O11" s="4">
        <v>1.181818</v>
      </c>
      <c r="P11" s="4">
        <v>3.0</v>
      </c>
      <c r="Q11" s="4">
        <v>2.0</v>
      </c>
      <c r="R11" s="9">
        <v>0</v>
      </c>
      <c r="S11" s="9">
        <v>0</v>
      </c>
      <c r="T11" s="4">
        <v>2.166666</v>
      </c>
      <c r="U11" s="11" t="s">
        <v>56</v>
      </c>
      <c r="V11" s="5">
        <v>36386.691</v>
      </c>
      <c r="W11" s="5">
        <v>2798.9762307692</v>
      </c>
      <c r="X11" s="5">
        <v>46308.412</v>
      </c>
      <c r="Y11" s="5">
        <v>3562.1855384615</v>
      </c>
      <c r="Z11" s="5">
        <v>9921.721</v>
      </c>
      <c r="AA11" s="5">
        <v>763.20930769231</v>
      </c>
      <c r="AB11" s="10">
        <v>0.21425310373416</v>
      </c>
      <c r="AC11" s="4">
        <v>13.0</v>
      </c>
      <c r="AD11" s="9">
        <v>0</v>
      </c>
      <c r="AE11" s="9">
        <v>0</v>
      </c>
      <c r="AF11" s="9">
        <v>0</v>
      </c>
      <c r="AG11" s="3">
        <v>0</v>
      </c>
      <c r="AH11" s="9">
        <v>0</v>
      </c>
      <c r="AI11" s="9">
        <v>0</v>
      </c>
      <c r="AJ11" s="5">
        <v>8104.49</v>
      </c>
      <c r="AK11" s="5">
        <v>2701.4966666667</v>
      </c>
      <c r="AL11" s="5">
        <v>10345.794</v>
      </c>
      <c r="AM11" s="5">
        <v>3448.598</v>
      </c>
      <c r="AN11" s="5">
        <v>2241.304</v>
      </c>
      <c r="AO11" s="5">
        <v>747.10133333333</v>
      </c>
      <c r="AP11" s="10">
        <v>0.21663914823744</v>
      </c>
      <c r="AQ11" s="4">
        <v>3.0</v>
      </c>
      <c r="AR11" s="9">
        <v>0</v>
      </c>
      <c r="AS11" s="9">
        <v>0</v>
      </c>
      <c r="AT11" s="9">
        <v>0</v>
      </c>
      <c r="AU11" s="3">
        <v>0</v>
      </c>
      <c r="AV11" s="9">
        <v>0</v>
      </c>
      <c r="AW11" s="9">
        <v>0</v>
      </c>
    </row>
    <row r="12" spans="1:49">
      <c r="A12" s="3">
        <v>10</v>
      </c>
      <c r="B12" s="3" t="s">
        <v>67</v>
      </c>
      <c r="C12" t="s">
        <v>68</v>
      </c>
      <c r="D12" s="3" t="s">
        <v>69</v>
      </c>
      <c r="E12" s="4">
        <v>1.0</v>
      </c>
      <c r="F12" s="5">
        <v>267.5</v>
      </c>
      <c r="G12" s="4">
        <v>30.0</v>
      </c>
      <c r="H12" s="5">
        <v>8025.0</v>
      </c>
      <c r="I12" s="4">
        <v>2.0</v>
      </c>
      <c r="J12" s="5">
        <v>535.0</v>
      </c>
      <c r="K12" s="9">
        <v>0</v>
      </c>
      <c r="L12" s="9">
        <v>0</v>
      </c>
      <c r="M12" s="13">
        <v>0</v>
      </c>
      <c r="N12" s="9">
        <v>0</v>
      </c>
      <c r="O12" s="9">
        <v>0</v>
      </c>
      <c r="P12" s="4">
        <v>2.0</v>
      </c>
      <c r="Q12" s="4">
        <v>2.0</v>
      </c>
      <c r="R12" s="9">
        <v>0</v>
      </c>
      <c r="S12" s="9">
        <v>0</v>
      </c>
      <c r="T12" s="4">
        <v>0.333333</v>
      </c>
      <c r="U12" s="11" t="s">
        <v>56</v>
      </c>
      <c r="V12" s="9">
        <v>0</v>
      </c>
      <c r="W12" s="9">
        <v>0</v>
      </c>
      <c r="X12" s="9">
        <v>0</v>
      </c>
      <c r="Y12" s="9">
        <v>0</v>
      </c>
      <c r="Z12" s="9">
        <v>0</v>
      </c>
      <c r="AA12" s="9">
        <v>0</v>
      </c>
      <c r="AB12" s="3">
        <v>0</v>
      </c>
      <c r="AC12" s="9">
        <v>0</v>
      </c>
      <c r="AD12" s="9">
        <v>0</v>
      </c>
      <c r="AE12" s="9">
        <v>0</v>
      </c>
      <c r="AF12" s="9">
        <v>0</v>
      </c>
      <c r="AG12" s="3">
        <v>0</v>
      </c>
      <c r="AH12" s="9">
        <v>0</v>
      </c>
      <c r="AI12" s="9">
        <v>0</v>
      </c>
      <c r="AJ12" s="5">
        <v>500.0</v>
      </c>
      <c r="AK12" s="5">
        <v>250.0</v>
      </c>
      <c r="AL12" s="5">
        <v>700.0</v>
      </c>
      <c r="AM12" s="5">
        <v>350.0</v>
      </c>
      <c r="AN12" s="5">
        <v>200.0</v>
      </c>
      <c r="AO12" s="5">
        <v>100.0</v>
      </c>
      <c r="AP12" s="8">
        <v>0.28571428571429</v>
      </c>
      <c r="AQ12" s="4">
        <v>2.0</v>
      </c>
      <c r="AR12" s="9">
        <v>0</v>
      </c>
      <c r="AS12" s="9">
        <v>0</v>
      </c>
      <c r="AT12" s="9">
        <v>0</v>
      </c>
      <c r="AU12" s="3">
        <v>0</v>
      </c>
      <c r="AV12" s="9">
        <v>0</v>
      </c>
      <c r="AW12" s="9">
        <v>0</v>
      </c>
    </row>
    <row r="13" spans="1:49">
      <c r="A13" s="3">
        <v>11</v>
      </c>
      <c r="B13" s="3" t="s">
        <v>70</v>
      </c>
      <c r="C13" t="s">
        <v>71</v>
      </c>
      <c r="D13" s="3" t="s">
        <v>59</v>
      </c>
      <c r="E13" s="4">
        <v>13.0</v>
      </c>
      <c r="F13" s="5">
        <v>88703.0</v>
      </c>
      <c r="G13" s="4">
        <v>1.0</v>
      </c>
      <c r="H13" s="5">
        <v>7169.0</v>
      </c>
      <c r="I13" s="9">
        <v>0</v>
      </c>
      <c r="J13" s="9">
        <v>0</v>
      </c>
      <c r="K13" s="4">
        <v>2.545452</v>
      </c>
      <c r="L13" s="5">
        <v>18248.345388</v>
      </c>
      <c r="M13" s="6">
        <v>0.60714246428532</v>
      </c>
      <c r="N13" s="4">
        <v>2.0</v>
      </c>
      <c r="O13" s="4">
        <v>0.181818</v>
      </c>
      <c r="P13" s="9">
        <v>0</v>
      </c>
      <c r="Q13" s="9">
        <v>0</v>
      </c>
      <c r="R13" s="4">
        <v>1.0</v>
      </c>
      <c r="S13" s="5">
        <v>7169.0</v>
      </c>
      <c r="T13" s="4">
        <v>0.333333</v>
      </c>
      <c r="U13" s="7">
        <v>3.000003000003</v>
      </c>
      <c r="V13" s="5">
        <v>12800.0</v>
      </c>
      <c r="W13" s="5">
        <v>6400.0</v>
      </c>
      <c r="X13" s="5">
        <v>21588.785</v>
      </c>
      <c r="Y13" s="5">
        <v>10794.3925</v>
      </c>
      <c r="Z13" s="5">
        <v>8788.785</v>
      </c>
      <c r="AA13" s="5">
        <v>4394.3925</v>
      </c>
      <c r="AB13" s="8">
        <v>0.40709956581623</v>
      </c>
      <c r="AC13" s="4">
        <v>2.0</v>
      </c>
      <c r="AD13" s="9">
        <v>0</v>
      </c>
      <c r="AE13" s="9">
        <v>0</v>
      </c>
      <c r="AF13" s="9">
        <v>0</v>
      </c>
      <c r="AG13" s="3">
        <v>0</v>
      </c>
      <c r="AH13" s="9">
        <v>0</v>
      </c>
      <c r="AI13" s="9">
        <v>0</v>
      </c>
      <c r="AJ13" s="9">
        <v>0</v>
      </c>
      <c r="AK13" s="9">
        <v>0</v>
      </c>
      <c r="AL13" s="9">
        <v>0</v>
      </c>
      <c r="AM13" s="9">
        <v>0</v>
      </c>
      <c r="AN13" s="9">
        <v>0</v>
      </c>
      <c r="AO13" s="9">
        <v>0</v>
      </c>
      <c r="AP13" s="3">
        <v>0</v>
      </c>
      <c r="AQ13" s="9">
        <v>0</v>
      </c>
      <c r="AR13" s="9">
        <v>0</v>
      </c>
      <c r="AS13" s="9">
        <v>0</v>
      </c>
      <c r="AT13" s="9">
        <v>0</v>
      </c>
      <c r="AU13" s="3">
        <v>0</v>
      </c>
      <c r="AV13" s="9">
        <v>0</v>
      </c>
      <c r="AW13" s="9">
        <v>0</v>
      </c>
    </row>
    <row r="14" spans="1:49">
      <c r="A14" s="3">
        <v>12</v>
      </c>
      <c r="B14" s="3" t="s">
        <v>72</v>
      </c>
      <c r="C14" t="s">
        <v>73</v>
      </c>
      <c r="D14" s="3" t="s">
        <v>59</v>
      </c>
      <c r="E14" s="9">
        <v>0</v>
      </c>
      <c r="F14" s="9">
        <v>0</v>
      </c>
      <c r="G14" s="4">
        <v>6.0</v>
      </c>
      <c r="H14" s="5">
        <v>7000.0</v>
      </c>
      <c r="I14" s="9">
        <v>0</v>
      </c>
      <c r="J14" s="9">
        <v>0</v>
      </c>
      <c r="K14" s="4">
        <v>2.545452</v>
      </c>
      <c r="L14" s="5">
        <v>3054.5424</v>
      </c>
      <c r="M14" s="12">
        <v>-1.3571452142881</v>
      </c>
      <c r="N14" s="4">
        <v>2.0</v>
      </c>
      <c r="O14" s="4">
        <v>0.181818</v>
      </c>
      <c r="P14" s="9">
        <v>0</v>
      </c>
      <c r="Q14" s="9">
        <v>0</v>
      </c>
      <c r="R14" s="9">
        <v>0</v>
      </c>
      <c r="S14" s="9">
        <v>0</v>
      </c>
      <c r="T14" s="4">
        <v>0.333333</v>
      </c>
      <c r="U14" s="11" t="s">
        <v>56</v>
      </c>
      <c r="V14" s="5">
        <v>2242.99</v>
      </c>
      <c r="W14" s="5">
        <v>1121.495</v>
      </c>
      <c r="X14" s="5">
        <v>2990.654</v>
      </c>
      <c r="Y14" s="5">
        <v>1495.327</v>
      </c>
      <c r="Z14" s="5">
        <v>747.664</v>
      </c>
      <c r="AA14" s="5">
        <v>373.832</v>
      </c>
      <c r="AB14" s="8">
        <v>0.25000016718751</v>
      </c>
      <c r="AC14" s="4">
        <v>2.0</v>
      </c>
      <c r="AD14" s="9">
        <v>0</v>
      </c>
      <c r="AE14" s="9">
        <v>0</v>
      </c>
      <c r="AF14" s="9">
        <v>0</v>
      </c>
      <c r="AG14" s="3">
        <v>0</v>
      </c>
      <c r="AH14" s="9">
        <v>0</v>
      </c>
      <c r="AI14" s="9">
        <v>0</v>
      </c>
      <c r="AJ14" s="9">
        <v>0</v>
      </c>
      <c r="AK14" s="9">
        <v>0</v>
      </c>
      <c r="AL14" s="9">
        <v>0</v>
      </c>
      <c r="AM14" s="9">
        <v>0</v>
      </c>
      <c r="AN14" s="9">
        <v>0</v>
      </c>
      <c r="AO14" s="9">
        <v>0</v>
      </c>
      <c r="AP14" s="3">
        <v>0</v>
      </c>
      <c r="AQ14" s="9">
        <v>0</v>
      </c>
      <c r="AR14" s="9">
        <v>0</v>
      </c>
      <c r="AS14" s="9">
        <v>0</v>
      </c>
      <c r="AT14" s="9">
        <v>0</v>
      </c>
      <c r="AU14" s="3">
        <v>0</v>
      </c>
      <c r="AV14" s="9">
        <v>0</v>
      </c>
      <c r="AW14" s="9">
        <v>0</v>
      </c>
    </row>
    <row r="15" spans="1:49">
      <c r="A15" s="3">
        <v>13</v>
      </c>
      <c r="B15" s="3" t="s">
        <v>74</v>
      </c>
      <c r="C15" t="s">
        <v>75</v>
      </c>
      <c r="D15" s="3" t="s">
        <v>64</v>
      </c>
      <c r="E15" s="9">
        <v>0</v>
      </c>
      <c r="F15" s="9">
        <v>0</v>
      </c>
      <c r="G15" s="4">
        <v>6.0</v>
      </c>
      <c r="H15" s="5">
        <v>7000.0</v>
      </c>
      <c r="I15" s="9">
        <v>0</v>
      </c>
      <c r="J15" s="9">
        <v>0</v>
      </c>
      <c r="K15" s="4">
        <v>5.090904</v>
      </c>
      <c r="L15" s="5">
        <v>5854.5396</v>
      </c>
      <c r="M15" s="12">
        <v>-0.17857260714404</v>
      </c>
      <c r="N15" s="4">
        <v>4.0</v>
      </c>
      <c r="O15" s="4">
        <v>0.363636</v>
      </c>
      <c r="P15" s="9">
        <v>0</v>
      </c>
      <c r="Q15" s="9">
        <v>0</v>
      </c>
      <c r="R15" s="9">
        <v>0</v>
      </c>
      <c r="S15" s="9">
        <v>0</v>
      </c>
      <c r="T15" s="4">
        <v>0.666666</v>
      </c>
      <c r="U15" s="11" t="s">
        <v>56</v>
      </c>
      <c r="V15" s="5">
        <v>4299.06</v>
      </c>
      <c r="W15" s="5">
        <v>1074.765</v>
      </c>
      <c r="X15" s="5">
        <v>4093.46</v>
      </c>
      <c r="Y15" s="5">
        <v>1023.365</v>
      </c>
      <c r="Z15" s="5">
        <v>-205.6</v>
      </c>
      <c r="AA15" s="5">
        <v>-51.4</v>
      </c>
      <c r="AB15" s="14">
        <v>-0.050226458790363</v>
      </c>
      <c r="AC15" s="4">
        <v>4.0</v>
      </c>
      <c r="AD15" s="9">
        <v>0</v>
      </c>
      <c r="AE15" s="9">
        <v>0</v>
      </c>
      <c r="AF15" s="9">
        <v>0</v>
      </c>
      <c r="AG15" s="3">
        <v>0</v>
      </c>
      <c r="AH15" s="9">
        <v>0</v>
      </c>
      <c r="AI15" s="9">
        <v>0</v>
      </c>
      <c r="AJ15" s="9">
        <v>0</v>
      </c>
      <c r="AK15" s="9">
        <v>0</v>
      </c>
      <c r="AL15" s="9">
        <v>0</v>
      </c>
      <c r="AM15" s="9">
        <v>0</v>
      </c>
      <c r="AN15" s="9">
        <v>0</v>
      </c>
      <c r="AO15" s="9">
        <v>0</v>
      </c>
      <c r="AP15" s="3">
        <v>0</v>
      </c>
      <c r="AQ15" s="9">
        <v>0</v>
      </c>
      <c r="AR15" s="9">
        <v>0</v>
      </c>
      <c r="AS15" s="9">
        <v>0</v>
      </c>
      <c r="AT15" s="9">
        <v>0</v>
      </c>
      <c r="AU15" s="3">
        <v>0</v>
      </c>
      <c r="AV15" s="9">
        <v>0</v>
      </c>
      <c r="AW15" s="9">
        <v>0</v>
      </c>
    </row>
    <row r="16" spans="1:49">
      <c r="A16" s="3">
        <v>14</v>
      </c>
      <c r="B16" s="3" t="s">
        <v>76</v>
      </c>
      <c r="C16" t="s">
        <v>77</v>
      </c>
      <c r="D16" s="3" t="s">
        <v>64</v>
      </c>
      <c r="E16" s="4">
        <v>8.0</v>
      </c>
      <c r="F16" s="5">
        <v>13268.0</v>
      </c>
      <c r="G16" s="4">
        <v>4.0</v>
      </c>
      <c r="H16" s="5">
        <v>6848.0</v>
      </c>
      <c r="I16" s="9">
        <v>0</v>
      </c>
      <c r="J16" s="9">
        <v>0</v>
      </c>
      <c r="K16" s="4">
        <v>5.090904</v>
      </c>
      <c r="L16" s="5">
        <v>8715.627648</v>
      </c>
      <c r="M16" s="6">
        <v>0.21428492857064</v>
      </c>
      <c r="N16" s="4">
        <v>4.0</v>
      </c>
      <c r="O16" s="4">
        <v>0.363636</v>
      </c>
      <c r="P16" s="9">
        <v>0</v>
      </c>
      <c r="Q16" s="9">
        <v>0</v>
      </c>
      <c r="R16" s="9">
        <v>0</v>
      </c>
      <c r="S16" s="9">
        <v>0</v>
      </c>
      <c r="T16" s="4">
        <v>0.666666</v>
      </c>
      <c r="U16" s="11" t="s">
        <v>56</v>
      </c>
      <c r="V16" s="5">
        <v>6400.0</v>
      </c>
      <c r="W16" s="5">
        <v>1600.0</v>
      </c>
      <c r="X16" s="5">
        <v>7850.8</v>
      </c>
      <c r="Y16" s="5">
        <v>1962.7</v>
      </c>
      <c r="Z16" s="5">
        <v>1450.8</v>
      </c>
      <c r="AA16" s="5">
        <v>362.7</v>
      </c>
      <c r="AB16" s="10">
        <v>0.18479645386457</v>
      </c>
      <c r="AC16" s="4">
        <v>4.0</v>
      </c>
      <c r="AD16" s="9">
        <v>0</v>
      </c>
      <c r="AE16" s="9">
        <v>0</v>
      </c>
      <c r="AF16" s="9">
        <v>0</v>
      </c>
      <c r="AG16" s="3">
        <v>0</v>
      </c>
      <c r="AH16" s="9">
        <v>0</v>
      </c>
      <c r="AI16" s="9">
        <v>0</v>
      </c>
      <c r="AJ16" s="9">
        <v>0</v>
      </c>
      <c r="AK16" s="9">
        <v>0</v>
      </c>
      <c r="AL16" s="9">
        <v>0</v>
      </c>
      <c r="AM16" s="9">
        <v>0</v>
      </c>
      <c r="AN16" s="9">
        <v>0</v>
      </c>
      <c r="AO16" s="9">
        <v>0</v>
      </c>
      <c r="AP16" s="3">
        <v>0</v>
      </c>
      <c r="AQ16" s="9">
        <v>0</v>
      </c>
      <c r="AR16" s="9">
        <v>0</v>
      </c>
      <c r="AS16" s="9">
        <v>0</v>
      </c>
      <c r="AT16" s="9">
        <v>0</v>
      </c>
      <c r="AU16" s="3">
        <v>0</v>
      </c>
      <c r="AV16" s="9">
        <v>0</v>
      </c>
      <c r="AW16" s="9">
        <v>0</v>
      </c>
    </row>
    <row r="17" spans="1:49">
      <c r="A17" s="3">
        <v>15</v>
      </c>
      <c r="B17" s="3" t="s">
        <v>78</v>
      </c>
      <c r="C17" t="s">
        <v>79</v>
      </c>
      <c r="D17" s="3" t="s">
        <v>64</v>
      </c>
      <c r="E17" s="4">
        <v>65.0</v>
      </c>
      <c r="F17" s="5">
        <v>8292.5</v>
      </c>
      <c r="G17" s="4">
        <v>50.0</v>
      </c>
      <c r="H17" s="5">
        <v>6687.5</v>
      </c>
      <c r="I17" s="9">
        <v>0</v>
      </c>
      <c r="J17" s="9">
        <v>0</v>
      </c>
      <c r="K17" s="4">
        <v>63.636356</v>
      </c>
      <c r="L17" s="5">
        <v>8511.362615</v>
      </c>
      <c r="M17" s="6">
        <v>0.21428561999999</v>
      </c>
      <c r="N17" s="4">
        <v>50.0</v>
      </c>
      <c r="O17" s="4">
        <v>4.545454</v>
      </c>
      <c r="P17" s="9">
        <v>0</v>
      </c>
      <c r="Q17" s="9">
        <v>0</v>
      </c>
      <c r="R17" s="9">
        <v>0</v>
      </c>
      <c r="S17" s="9">
        <v>0</v>
      </c>
      <c r="T17" s="4">
        <v>6.666666</v>
      </c>
      <c r="U17" s="11" t="s">
        <v>56</v>
      </c>
      <c r="V17" s="5">
        <v>6250.0</v>
      </c>
      <c r="W17" s="5">
        <v>125.0</v>
      </c>
      <c r="X17" s="5">
        <v>9500.0</v>
      </c>
      <c r="Y17" s="5">
        <v>190.0</v>
      </c>
      <c r="Z17" s="5">
        <v>3250.0</v>
      </c>
      <c r="AA17" s="5">
        <v>65.0</v>
      </c>
      <c r="AB17" s="8">
        <v>0.34210526315789</v>
      </c>
      <c r="AC17" s="4">
        <v>50.0</v>
      </c>
      <c r="AD17" s="9">
        <v>0</v>
      </c>
      <c r="AE17" s="9">
        <v>0</v>
      </c>
      <c r="AF17" s="9">
        <v>0</v>
      </c>
      <c r="AG17" s="3">
        <v>0</v>
      </c>
      <c r="AH17" s="9">
        <v>0</v>
      </c>
      <c r="AI17" s="9">
        <v>0</v>
      </c>
      <c r="AJ17" s="9">
        <v>0</v>
      </c>
      <c r="AK17" s="9">
        <v>0</v>
      </c>
      <c r="AL17" s="9">
        <v>0</v>
      </c>
      <c r="AM17" s="9">
        <v>0</v>
      </c>
      <c r="AN17" s="9">
        <v>0</v>
      </c>
      <c r="AO17" s="9">
        <v>0</v>
      </c>
      <c r="AP17" s="3">
        <v>0</v>
      </c>
      <c r="AQ17" s="9">
        <v>0</v>
      </c>
      <c r="AR17" s="9">
        <v>0</v>
      </c>
      <c r="AS17" s="9">
        <v>0</v>
      </c>
      <c r="AT17" s="9">
        <v>0</v>
      </c>
      <c r="AU17" s="3">
        <v>0</v>
      </c>
      <c r="AV17" s="9">
        <v>0</v>
      </c>
      <c r="AW17" s="9">
        <v>0</v>
      </c>
    </row>
    <row r="18" spans="1:49">
      <c r="A18" s="3">
        <v>16</v>
      </c>
      <c r="B18" s="3" t="s">
        <v>80</v>
      </c>
      <c r="C18" t="s">
        <v>81</v>
      </c>
      <c r="D18" s="3" t="s">
        <v>59</v>
      </c>
      <c r="E18" s="9">
        <v>0</v>
      </c>
      <c r="F18" s="9">
        <v>0</v>
      </c>
      <c r="G18" s="4">
        <v>2.0</v>
      </c>
      <c r="H18" s="5">
        <v>6200.0</v>
      </c>
      <c r="I18" s="9">
        <v>0</v>
      </c>
      <c r="J18" s="9">
        <v>0</v>
      </c>
      <c r="K18" s="4">
        <v>2.545452</v>
      </c>
      <c r="L18" s="5">
        <v>7890.9012</v>
      </c>
      <c r="M18" s="6">
        <v>0.21428492857064</v>
      </c>
      <c r="N18" s="4">
        <v>2.0</v>
      </c>
      <c r="O18" s="4">
        <v>0.181818</v>
      </c>
      <c r="P18" s="9">
        <v>0</v>
      </c>
      <c r="Q18" s="9">
        <v>0</v>
      </c>
      <c r="R18" s="9">
        <v>0</v>
      </c>
      <c r="S18" s="9">
        <v>0</v>
      </c>
      <c r="T18" s="4">
        <v>0.333333</v>
      </c>
      <c r="U18" s="11" t="s">
        <v>56</v>
      </c>
      <c r="V18" s="5">
        <v>5794.4</v>
      </c>
      <c r="W18" s="5">
        <v>2897.2</v>
      </c>
      <c r="X18" s="5">
        <v>8579.44</v>
      </c>
      <c r="Y18" s="5">
        <v>4289.72</v>
      </c>
      <c r="Z18" s="5">
        <v>2785.04</v>
      </c>
      <c r="AA18" s="5">
        <v>1392.52</v>
      </c>
      <c r="AB18" s="8">
        <v>0.32461792378057</v>
      </c>
      <c r="AC18" s="4">
        <v>2.0</v>
      </c>
      <c r="AD18" s="9">
        <v>0</v>
      </c>
      <c r="AE18" s="9">
        <v>0</v>
      </c>
      <c r="AF18" s="9">
        <v>0</v>
      </c>
      <c r="AG18" s="3">
        <v>0</v>
      </c>
      <c r="AH18" s="9">
        <v>0</v>
      </c>
      <c r="AI18" s="9">
        <v>0</v>
      </c>
      <c r="AJ18" s="9">
        <v>0</v>
      </c>
      <c r="AK18" s="9">
        <v>0</v>
      </c>
      <c r="AL18" s="9">
        <v>0</v>
      </c>
      <c r="AM18" s="9">
        <v>0</v>
      </c>
      <c r="AN18" s="9">
        <v>0</v>
      </c>
      <c r="AO18" s="9">
        <v>0</v>
      </c>
      <c r="AP18" s="3">
        <v>0</v>
      </c>
      <c r="AQ18" s="9">
        <v>0</v>
      </c>
      <c r="AR18" s="9">
        <v>0</v>
      </c>
      <c r="AS18" s="9">
        <v>0</v>
      </c>
      <c r="AT18" s="9">
        <v>0</v>
      </c>
      <c r="AU18" s="3">
        <v>0</v>
      </c>
      <c r="AV18" s="9">
        <v>0</v>
      </c>
      <c r="AW18" s="9">
        <v>0</v>
      </c>
    </row>
    <row r="19" spans="1:49">
      <c r="A19" s="3">
        <v>17</v>
      </c>
      <c r="B19" s="3" t="s">
        <v>82</v>
      </c>
      <c r="C19" t="s">
        <v>83</v>
      </c>
      <c r="D19" s="3" t="s">
        <v>59</v>
      </c>
      <c r="E19" s="4">
        <v>9.0</v>
      </c>
      <c r="F19" s="5">
        <v>53999.999</v>
      </c>
      <c r="G19" s="4">
        <v>1.0</v>
      </c>
      <c r="H19" s="5">
        <v>5800.0</v>
      </c>
      <c r="I19" s="9">
        <v>0</v>
      </c>
      <c r="J19" s="9">
        <v>0</v>
      </c>
      <c r="K19" s="4">
        <v>1.272726</v>
      </c>
      <c r="L19" s="5">
        <v>7381.8108</v>
      </c>
      <c r="M19" s="6">
        <v>0.21428492857064</v>
      </c>
      <c r="N19" s="4">
        <v>1.0</v>
      </c>
      <c r="O19" s="4">
        <v>0.090909</v>
      </c>
      <c r="P19" s="9">
        <v>0</v>
      </c>
      <c r="Q19" s="9">
        <v>0</v>
      </c>
      <c r="R19" s="9">
        <v>0</v>
      </c>
      <c r="S19" s="9">
        <v>0</v>
      </c>
      <c r="T19" s="4">
        <v>0.166666</v>
      </c>
      <c r="U19" s="11" t="s">
        <v>56</v>
      </c>
      <c r="V19" s="5">
        <v>6450.0</v>
      </c>
      <c r="W19" s="5">
        <v>6450.0</v>
      </c>
      <c r="X19" s="5">
        <v>7383.178</v>
      </c>
      <c r="Y19" s="5">
        <v>7383.178</v>
      </c>
      <c r="Z19" s="5">
        <v>933.178</v>
      </c>
      <c r="AA19" s="5">
        <v>933.178</v>
      </c>
      <c r="AB19" s="10">
        <v>0.12639245593158</v>
      </c>
      <c r="AC19" s="4">
        <v>1.0</v>
      </c>
      <c r="AD19" s="9">
        <v>0</v>
      </c>
      <c r="AE19" s="9">
        <v>0</v>
      </c>
      <c r="AF19" s="9">
        <v>0</v>
      </c>
      <c r="AG19" s="3">
        <v>0</v>
      </c>
      <c r="AH19" s="9">
        <v>0</v>
      </c>
      <c r="AI19" s="9">
        <v>0</v>
      </c>
      <c r="AJ19" s="9">
        <v>0</v>
      </c>
      <c r="AK19" s="9">
        <v>0</v>
      </c>
      <c r="AL19" s="9">
        <v>0</v>
      </c>
      <c r="AM19" s="9">
        <v>0</v>
      </c>
      <c r="AN19" s="9">
        <v>0</v>
      </c>
      <c r="AO19" s="9">
        <v>0</v>
      </c>
      <c r="AP19" s="3">
        <v>0</v>
      </c>
      <c r="AQ19" s="9">
        <v>0</v>
      </c>
      <c r="AR19" s="9">
        <v>0</v>
      </c>
      <c r="AS19" s="9">
        <v>0</v>
      </c>
      <c r="AT19" s="9">
        <v>0</v>
      </c>
      <c r="AU19" s="3">
        <v>0</v>
      </c>
      <c r="AV19" s="9">
        <v>0</v>
      </c>
      <c r="AW19" s="9">
        <v>0</v>
      </c>
    </row>
    <row r="20" spans="1:49">
      <c r="A20" s="3">
        <v>18</v>
      </c>
      <c r="B20" s="3" t="s">
        <v>84</v>
      </c>
      <c r="C20" t="s">
        <v>85</v>
      </c>
      <c r="D20" s="3" t="s">
        <v>64</v>
      </c>
      <c r="E20" s="4">
        <v>2.0</v>
      </c>
      <c r="F20" s="5">
        <v>9700.0</v>
      </c>
      <c r="G20" s="4">
        <v>1.0</v>
      </c>
      <c r="H20" s="5">
        <v>4946.999</v>
      </c>
      <c r="I20" s="9">
        <v>0</v>
      </c>
      <c r="J20" s="9">
        <v>0</v>
      </c>
      <c r="K20" s="4">
        <v>1.272726</v>
      </c>
      <c r="L20" s="5">
        <v>6296.174249</v>
      </c>
      <c r="M20" s="6">
        <v>0.21428492857064</v>
      </c>
      <c r="N20" s="4">
        <v>1.0</v>
      </c>
      <c r="O20" s="4">
        <v>0.090909</v>
      </c>
      <c r="P20" s="9">
        <v>0</v>
      </c>
      <c r="Q20" s="9">
        <v>0</v>
      </c>
      <c r="R20" s="9">
        <v>0</v>
      </c>
      <c r="S20" s="9">
        <v>0</v>
      </c>
      <c r="T20" s="4">
        <v>0.166666</v>
      </c>
      <c r="U20" s="11" t="s">
        <v>56</v>
      </c>
      <c r="V20" s="5">
        <v>1892.94</v>
      </c>
      <c r="W20" s="5">
        <v>1892.94</v>
      </c>
      <c r="X20" s="5">
        <v>5514.019</v>
      </c>
      <c r="Y20" s="5">
        <v>5514.019</v>
      </c>
      <c r="Z20" s="5">
        <v>3621.079</v>
      </c>
      <c r="AA20" s="5">
        <v>3621.079</v>
      </c>
      <c r="AB20" s="8">
        <v>0.65670412089621</v>
      </c>
      <c r="AC20" s="4">
        <v>1.0</v>
      </c>
      <c r="AD20" s="9">
        <v>0</v>
      </c>
      <c r="AE20" s="9">
        <v>0</v>
      </c>
      <c r="AF20" s="9">
        <v>0</v>
      </c>
      <c r="AG20" s="3">
        <v>0</v>
      </c>
      <c r="AH20" s="9">
        <v>0</v>
      </c>
      <c r="AI20" s="9">
        <v>0</v>
      </c>
      <c r="AJ20" s="9">
        <v>0</v>
      </c>
      <c r="AK20" s="9">
        <v>0</v>
      </c>
      <c r="AL20" s="9">
        <v>0</v>
      </c>
      <c r="AM20" s="9">
        <v>0</v>
      </c>
      <c r="AN20" s="9">
        <v>0</v>
      </c>
      <c r="AO20" s="9">
        <v>0</v>
      </c>
      <c r="AP20" s="3">
        <v>0</v>
      </c>
      <c r="AQ20" s="9">
        <v>0</v>
      </c>
      <c r="AR20" s="9">
        <v>0</v>
      </c>
      <c r="AS20" s="9">
        <v>0</v>
      </c>
      <c r="AT20" s="9">
        <v>0</v>
      </c>
      <c r="AU20" s="3">
        <v>0</v>
      </c>
      <c r="AV20" s="9">
        <v>0</v>
      </c>
      <c r="AW20" s="9">
        <v>0</v>
      </c>
    </row>
    <row r="21" spans="1:49">
      <c r="A21" s="3">
        <v>19</v>
      </c>
      <c r="B21" s="3" t="s">
        <v>86</v>
      </c>
      <c r="C21" t="s">
        <v>87</v>
      </c>
      <c r="D21" s="3" t="s">
        <v>64</v>
      </c>
      <c r="E21" s="9">
        <v>0</v>
      </c>
      <c r="F21" s="9">
        <v>0</v>
      </c>
      <c r="G21" s="4">
        <v>2.0</v>
      </c>
      <c r="H21" s="5">
        <v>4800.0</v>
      </c>
      <c r="I21" s="9">
        <v>0</v>
      </c>
      <c r="J21" s="9">
        <v>0</v>
      </c>
      <c r="K21" s="4">
        <v>2.545452</v>
      </c>
      <c r="L21" s="5">
        <v>6109.0848</v>
      </c>
      <c r="M21" s="6">
        <v>0.21428492857064</v>
      </c>
      <c r="N21" s="4">
        <v>2.0</v>
      </c>
      <c r="O21" s="4">
        <v>0.181818</v>
      </c>
      <c r="P21" s="9">
        <v>0</v>
      </c>
      <c r="Q21" s="9">
        <v>0</v>
      </c>
      <c r="R21" s="9">
        <v>0</v>
      </c>
      <c r="S21" s="9">
        <v>0</v>
      </c>
      <c r="T21" s="4">
        <v>0.333333</v>
      </c>
      <c r="U21" s="11" t="s">
        <v>56</v>
      </c>
      <c r="V21" s="5">
        <v>4485.98</v>
      </c>
      <c r="W21" s="5">
        <v>2242.99</v>
      </c>
      <c r="X21" s="5">
        <v>5962.618</v>
      </c>
      <c r="Y21" s="5">
        <v>2981.309</v>
      </c>
      <c r="Z21" s="5">
        <v>1476.638</v>
      </c>
      <c r="AA21" s="5">
        <v>738.319</v>
      </c>
      <c r="AB21" s="10">
        <v>0.24764927084043</v>
      </c>
      <c r="AC21" s="4">
        <v>2.0</v>
      </c>
      <c r="AD21" s="9">
        <v>0</v>
      </c>
      <c r="AE21" s="9">
        <v>0</v>
      </c>
      <c r="AF21" s="9">
        <v>0</v>
      </c>
      <c r="AG21" s="3">
        <v>0</v>
      </c>
      <c r="AH21" s="9">
        <v>0</v>
      </c>
      <c r="AI21" s="9">
        <v>0</v>
      </c>
      <c r="AJ21" s="9">
        <v>0</v>
      </c>
      <c r="AK21" s="9">
        <v>0</v>
      </c>
      <c r="AL21" s="9">
        <v>0</v>
      </c>
      <c r="AM21" s="9">
        <v>0</v>
      </c>
      <c r="AN21" s="9">
        <v>0</v>
      </c>
      <c r="AO21" s="9">
        <v>0</v>
      </c>
      <c r="AP21" s="3">
        <v>0</v>
      </c>
      <c r="AQ21" s="9">
        <v>0</v>
      </c>
      <c r="AR21" s="9">
        <v>0</v>
      </c>
      <c r="AS21" s="9">
        <v>0</v>
      </c>
      <c r="AT21" s="9">
        <v>0</v>
      </c>
      <c r="AU21" s="3">
        <v>0</v>
      </c>
      <c r="AV21" s="9">
        <v>0</v>
      </c>
      <c r="AW21" s="9">
        <v>0</v>
      </c>
    </row>
    <row r="22" spans="1:49">
      <c r="A22" s="3">
        <v>20</v>
      </c>
      <c r="B22" s="3" t="s">
        <v>88</v>
      </c>
      <c r="C22" t="s">
        <v>89</v>
      </c>
      <c r="D22" s="3" t="s">
        <v>64</v>
      </c>
      <c r="E22" s="9">
        <v>0</v>
      </c>
      <c r="F22" s="9">
        <v>0</v>
      </c>
      <c r="G22" s="4">
        <v>2.0</v>
      </c>
      <c r="H22" s="5">
        <v>4600.0</v>
      </c>
      <c r="I22" s="9">
        <v>0</v>
      </c>
      <c r="J22" s="9">
        <v>0</v>
      </c>
      <c r="K22" s="4">
        <v>7.636356</v>
      </c>
      <c r="L22" s="5">
        <v>17313.80305</v>
      </c>
      <c r="M22" s="6">
        <v>0.73809497619021</v>
      </c>
      <c r="N22" s="4">
        <v>6.0</v>
      </c>
      <c r="O22" s="4">
        <v>0.545454</v>
      </c>
      <c r="P22" s="9">
        <v>0</v>
      </c>
      <c r="Q22" s="9">
        <v>0</v>
      </c>
      <c r="R22" s="9">
        <v>0</v>
      </c>
      <c r="S22" s="9">
        <v>0</v>
      </c>
      <c r="T22" s="4">
        <v>1.0</v>
      </c>
      <c r="U22" s="11" t="s">
        <v>56</v>
      </c>
      <c r="V22" s="5">
        <v>13087.41</v>
      </c>
      <c r="W22" s="5">
        <v>2181.235</v>
      </c>
      <c r="X22" s="5">
        <v>16878.504</v>
      </c>
      <c r="Y22" s="5">
        <v>2813.084</v>
      </c>
      <c r="Z22" s="5">
        <v>3791.094</v>
      </c>
      <c r="AA22" s="5">
        <v>631.849</v>
      </c>
      <c r="AB22" s="10">
        <v>0.22461078304096</v>
      </c>
      <c r="AC22" s="4">
        <v>6.0</v>
      </c>
      <c r="AD22" s="9">
        <v>0</v>
      </c>
      <c r="AE22" s="9">
        <v>0</v>
      </c>
      <c r="AF22" s="9">
        <v>0</v>
      </c>
      <c r="AG22" s="3">
        <v>0</v>
      </c>
      <c r="AH22" s="9">
        <v>0</v>
      </c>
      <c r="AI22" s="9">
        <v>0</v>
      </c>
      <c r="AJ22" s="9">
        <v>0</v>
      </c>
      <c r="AK22" s="9">
        <v>0</v>
      </c>
      <c r="AL22" s="9">
        <v>0</v>
      </c>
      <c r="AM22" s="9">
        <v>0</v>
      </c>
      <c r="AN22" s="9">
        <v>0</v>
      </c>
      <c r="AO22" s="9">
        <v>0</v>
      </c>
      <c r="AP22" s="3">
        <v>0</v>
      </c>
      <c r="AQ22" s="9">
        <v>0</v>
      </c>
      <c r="AR22" s="9">
        <v>0</v>
      </c>
      <c r="AS22" s="9">
        <v>0</v>
      </c>
      <c r="AT22" s="9">
        <v>0</v>
      </c>
      <c r="AU22" s="3">
        <v>0</v>
      </c>
      <c r="AV22" s="9">
        <v>0</v>
      </c>
      <c r="AW22" s="9">
        <v>0</v>
      </c>
    </row>
    <row r="23" spans="1:49">
      <c r="A23" s="3">
        <v>21</v>
      </c>
      <c r="B23" s="3" t="s">
        <v>90</v>
      </c>
      <c r="C23" t="s">
        <v>91</v>
      </c>
      <c r="D23" s="3" t="s">
        <v>59</v>
      </c>
      <c r="E23" s="9">
        <v>0</v>
      </c>
      <c r="F23" s="9">
        <v>0</v>
      </c>
      <c r="G23" s="4">
        <v>1.0</v>
      </c>
      <c r="H23" s="5">
        <v>4066.0</v>
      </c>
      <c r="I23" s="9">
        <v>0</v>
      </c>
      <c r="J23" s="9">
        <v>0</v>
      </c>
      <c r="K23" s="9">
        <v>0</v>
      </c>
      <c r="L23" s="9">
        <v>0</v>
      </c>
      <c r="M23" s="13">
        <v>0</v>
      </c>
      <c r="N23" s="9">
        <v>0</v>
      </c>
      <c r="O23" s="9">
        <v>0</v>
      </c>
      <c r="P23" s="9">
        <v>0</v>
      </c>
      <c r="Q23" s="9">
        <v>0</v>
      </c>
      <c r="R23" s="9">
        <v>0</v>
      </c>
      <c r="S23" s="9">
        <v>0</v>
      </c>
      <c r="T23" s="9">
        <v>0</v>
      </c>
      <c r="U23" s="11" t="s">
        <v>56</v>
      </c>
      <c r="V23" s="9">
        <v>0</v>
      </c>
      <c r="W23" s="9">
        <v>0</v>
      </c>
      <c r="X23" s="9">
        <v>0</v>
      </c>
      <c r="Y23" s="9">
        <v>0</v>
      </c>
      <c r="Z23" s="9">
        <v>0</v>
      </c>
      <c r="AA23" s="9">
        <v>0</v>
      </c>
      <c r="AB23" s="3">
        <v>0</v>
      </c>
      <c r="AC23" s="9">
        <v>0</v>
      </c>
      <c r="AD23" s="9">
        <v>0</v>
      </c>
      <c r="AE23" s="9">
        <v>0</v>
      </c>
      <c r="AF23" s="9">
        <v>0</v>
      </c>
      <c r="AG23" s="3">
        <v>0</v>
      </c>
      <c r="AH23" s="9">
        <v>0</v>
      </c>
      <c r="AI23" s="9">
        <v>0</v>
      </c>
      <c r="AJ23" s="9">
        <v>0</v>
      </c>
      <c r="AK23" s="9">
        <v>0</v>
      </c>
      <c r="AL23" s="9">
        <v>0</v>
      </c>
      <c r="AM23" s="9">
        <v>0</v>
      </c>
      <c r="AN23" s="9">
        <v>0</v>
      </c>
      <c r="AO23" s="9">
        <v>0</v>
      </c>
      <c r="AP23" s="3">
        <v>0</v>
      </c>
      <c r="AQ23" s="9">
        <v>0</v>
      </c>
      <c r="AR23" s="9">
        <v>0</v>
      </c>
      <c r="AS23" s="9">
        <v>0</v>
      </c>
      <c r="AT23" s="9">
        <v>0</v>
      </c>
      <c r="AU23" s="3">
        <v>0</v>
      </c>
      <c r="AV23" s="9">
        <v>0</v>
      </c>
      <c r="AW23" s="9">
        <v>0</v>
      </c>
    </row>
    <row r="24" spans="1:49">
      <c r="A24" s="3">
        <v>22</v>
      </c>
      <c r="B24" s="3" t="s">
        <v>92</v>
      </c>
      <c r="C24" t="s">
        <v>93</v>
      </c>
      <c r="D24" s="3" t="s">
        <v>64</v>
      </c>
      <c r="E24" s="9">
        <v>0</v>
      </c>
      <c r="F24" s="9">
        <v>0</v>
      </c>
      <c r="G24" s="4">
        <v>1.0</v>
      </c>
      <c r="H24" s="5">
        <v>2950.0</v>
      </c>
      <c r="I24" s="9">
        <v>0</v>
      </c>
      <c r="J24" s="9">
        <v>0</v>
      </c>
      <c r="K24" s="4">
        <v>1.272726</v>
      </c>
      <c r="L24" s="5">
        <v>3754.5417</v>
      </c>
      <c r="M24" s="6">
        <v>0.21428492857064</v>
      </c>
      <c r="N24" s="4">
        <v>1.0</v>
      </c>
      <c r="O24" s="4">
        <v>0.090909</v>
      </c>
      <c r="P24" s="9">
        <v>0</v>
      </c>
      <c r="Q24" s="9">
        <v>0</v>
      </c>
      <c r="R24" s="9">
        <v>0</v>
      </c>
      <c r="S24" s="9">
        <v>0</v>
      </c>
      <c r="T24" s="4">
        <v>0.166666</v>
      </c>
      <c r="U24" s="11" t="s">
        <v>56</v>
      </c>
      <c r="V24" s="5">
        <v>2757.01</v>
      </c>
      <c r="W24" s="5">
        <v>2757.01</v>
      </c>
      <c r="X24" s="5">
        <v>3590.0</v>
      </c>
      <c r="Y24" s="5">
        <v>3590.0</v>
      </c>
      <c r="Z24" s="5">
        <v>832.99</v>
      </c>
      <c r="AA24" s="5">
        <v>832.99</v>
      </c>
      <c r="AB24" s="10">
        <v>0.23203064066852</v>
      </c>
      <c r="AC24" s="4">
        <v>1.0</v>
      </c>
      <c r="AD24" s="9">
        <v>0</v>
      </c>
      <c r="AE24" s="9">
        <v>0</v>
      </c>
      <c r="AF24" s="9">
        <v>0</v>
      </c>
      <c r="AG24" s="3">
        <v>0</v>
      </c>
      <c r="AH24" s="9">
        <v>0</v>
      </c>
      <c r="AI24" s="9">
        <v>0</v>
      </c>
      <c r="AJ24" s="9">
        <v>0</v>
      </c>
      <c r="AK24" s="9">
        <v>0</v>
      </c>
      <c r="AL24" s="9">
        <v>0</v>
      </c>
      <c r="AM24" s="9">
        <v>0</v>
      </c>
      <c r="AN24" s="9">
        <v>0</v>
      </c>
      <c r="AO24" s="9">
        <v>0</v>
      </c>
      <c r="AP24" s="3">
        <v>0</v>
      </c>
      <c r="AQ24" s="9">
        <v>0</v>
      </c>
      <c r="AR24" s="9">
        <v>0</v>
      </c>
      <c r="AS24" s="9">
        <v>0</v>
      </c>
      <c r="AT24" s="9">
        <v>0</v>
      </c>
      <c r="AU24" s="3">
        <v>0</v>
      </c>
      <c r="AV24" s="9">
        <v>0</v>
      </c>
      <c r="AW24" s="9">
        <v>0</v>
      </c>
    </row>
    <row r="25" spans="1:49">
      <c r="A25" s="3">
        <v>23</v>
      </c>
      <c r="B25" s="3" t="s">
        <v>94</v>
      </c>
      <c r="C25" t="s">
        <v>95</v>
      </c>
      <c r="D25" s="3" t="s">
        <v>59</v>
      </c>
      <c r="E25" s="9">
        <v>0</v>
      </c>
      <c r="F25" s="9">
        <v>0</v>
      </c>
      <c r="G25" s="4">
        <v>1.0</v>
      </c>
      <c r="H25" s="5">
        <v>2300.0</v>
      </c>
      <c r="I25" s="9">
        <v>0</v>
      </c>
      <c r="J25" s="9">
        <v>0</v>
      </c>
      <c r="K25" s="4">
        <v>1.272726</v>
      </c>
      <c r="L25" s="5">
        <v>2927.2698</v>
      </c>
      <c r="M25" s="6">
        <v>0.21428492857064</v>
      </c>
      <c r="N25" s="4">
        <v>1.0</v>
      </c>
      <c r="O25" s="4">
        <v>0.090909</v>
      </c>
      <c r="P25" s="9">
        <v>0</v>
      </c>
      <c r="Q25" s="9">
        <v>0</v>
      </c>
      <c r="R25" s="9">
        <v>0</v>
      </c>
      <c r="S25" s="9">
        <v>0</v>
      </c>
      <c r="T25" s="4">
        <v>0.166666</v>
      </c>
      <c r="U25" s="11" t="s">
        <v>56</v>
      </c>
      <c r="V25" s="5">
        <v>2149.53</v>
      </c>
      <c r="W25" s="5">
        <v>2149.53</v>
      </c>
      <c r="X25" s="5">
        <v>2794.392</v>
      </c>
      <c r="Y25" s="5">
        <v>2794.392</v>
      </c>
      <c r="Z25" s="5">
        <v>644.862</v>
      </c>
      <c r="AA25" s="5">
        <v>644.862</v>
      </c>
      <c r="AB25" s="10">
        <v>0.23077005659907</v>
      </c>
      <c r="AC25" s="4">
        <v>1.0</v>
      </c>
      <c r="AD25" s="9">
        <v>0</v>
      </c>
      <c r="AE25" s="9">
        <v>0</v>
      </c>
      <c r="AF25" s="9">
        <v>0</v>
      </c>
      <c r="AG25" s="3">
        <v>0</v>
      </c>
      <c r="AH25" s="9">
        <v>0</v>
      </c>
      <c r="AI25" s="9">
        <v>0</v>
      </c>
      <c r="AJ25" s="9">
        <v>0</v>
      </c>
      <c r="AK25" s="9">
        <v>0</v>
      </c>
      <c r="AL25" s="9">
        <v>0</v>
      </c>
      <c r="AM25" s="9">
        <v>0</v>
      </c>
      <c r="AN25" s="9">
        <v>0</v>
      </c>
      <c r="AO25" s="9">
        <v>0</v>
      </c>
      <c r="AP25" s="3">
        <v>0</v>
      </c>
      <c r="AQ25" s="9">
        <v>0</v>
      </c>
      <c r="AR25" s="9">
        <v>0</v>
      </c>
      <c r="AS25" s="9">
        <v>0</v>
      </c>
      <c r="AT25" s="9">
        <v>0</v>
      </c>
      <c r="AU25" s="3">
        <v>0</v>
      </c>
      <c r="AV25" s="9">
        <v>0</v>
      </c>
      <c r="AW25" s="9">
        <v>0</v>
      </c>
    </row>
    <row r="26" spans="1:49">
      <c r="A26" s="3">
        <v>24</v>
      </c>
      <c r="B26" s="3" t="s">
        <v>96</v>
      </c>
      <c r="C26" t="s">
        <v>97</v>
      </c>
      <c r="D26" s="3"/>
      <c r="E26" s="9">
        <v>0</v>
      </c>
      <c r="F26" s="9">
        <v>0</v>
      </c>
      <c r="G26" s="4">
        <v>20.0</v>
      </c>
      <c r="H26" s="5">
        <v>2140.0</v>
      </c>
      <c r="I26" s="9">
        <v>0</v>
      </c>
      <c r="J26" s="9">
        <v>0</v>
      </c>
      <c r="K26" s="4">
        <v>5.090904</v>
      </c>
      <c r="L26" s="5">
        <v>544.726728</v>
      </c>
      <c r="M26" s="12">
        <v>-2.9285753571468</v>
      </c>
      <c r="N26" s="4">
        <v>4.0</v>
      </c>
      <c r="O26" s="4">
        <v>0.363636</v>
      </c>
      <c r="P26" s="9">
        <v>0</v>
      </c>
      <c r="Q26" s="9">
        <v>0</v>
      </c>
      <c r="R26" s="4">
        <v>6.0</v>
      </c>
      <c r="S26" s="5">
        <v>642.0</v>
      </c>
      <c r="T26" s="4">
        <v>0.666666</v>
      </c>
      <c r="U26" s="15">
        <v>9.000009000009</v>
      </c>
      <c r="V26" s="5">
        <v>400.0</v>
      </c>
      <c r="W26" s="5">
        <v>100.0</v>
      </c>
      <c r="X26" s="9">
        <v>0</v>
      </c>
      <c r="Y26" s="5">
        <v>0.0</v>
      </c>
      <c r="Z26" s="5">
        <v>-400.0</v>
      </c>
      <c r="AA26" s="5">
        <v>-100.0</v>
      </c>
      <c r="AB26" s="16">
        <v>0</v>
      </c>
      <c r="AC26" s="4">
        <v>4.0</v>
      </c>
      <c r="AD26" s="9">
        <v>0</v>
      </c>
      <c r="AE26" s="9">
        <v>0</v>
      </c>
      <c r="AF26" s="9">
        <v>0</v>
      </c>
      <c r="AG26" s="3">
        <v>0</v>
      </c>
      <c r="AH26" s="9">
        <v>0</v>
      </c>
      <c r="AI26" s="9">
        <v>0</v>
      </c>
      <c r="AJ26" s="9">
        <v>0</v>
      </c>
      <c r="AK26" s="9">
        <v>0</v>
      </c>
      <c r="AL26" s="9">
        <v>0</v>
      </c>
      <c r="AM26" s="9">
        <v>0</v>
      </c>
      <c r="AN26" s="9">
        <v>0</v>
      </c>
      <c r="AO26" s="9">
        <v>0</v>
      </c>
      <c r="AP26" s="3">
        <v>0</v>
      </c>
      <c r="AQ26" s="9">
        <v>0</v>
      </c>
      <c r="AR26" s="9">
        <v>0</v>
      </c>
      <c r="AS26" s="9">
        <v>0</v>
      </c>
      <c r="AT26" s="9">
        <v>0</v>
      </c>
      <c r="AU26" s="3">
        <v>0</v>
      </c>
      <c r="AV26" s="9">
        <v>0</v>
      </c>
      <c r="AW26" s="9">
        <v>0</v>
      </c>
    </row>
    <row r="27" spans="1:49">
      <c r="A27" s="3">
        <v>25</v>
      </c>
      <c r="B27" s="3" t="s">
        <v>98</v>
      </c>
      <c r="C27" t="s">
        <v>99</v>
      </c>
      <c r="D27" s="3" t="s">
        <v>64</v>
      </c>
      <c r="E27" s="4">
        <v>20.0</v>
      </c>
      <c r="F27" s="5">
        <v>2000.0</v>
      </c>
      <c r="G27" s="4">
        <v>20.0</v>
      </c>
      <c r="H27" s="5">
        <v>2000.0</v>
      </c>
      <c r="I27" s="9">
        <v>0</v>
      </c>
      <c r="J27" s="9">
        <v>0</v>
      </c>
      <c r="K27" s="4">
        <v>28.0</v>
      </c>
      <c r="L27" s="5">
        <v>2800.0</v>
      </c>
      <c r="M27" s="6">
        <v>0.28571428571429</v>
      </c>
      <c r="N27" s="4">
        <v>22.0</v>
      </c>
      <c r="O27" s="4">
        <v>2.0</v>
      </c>
      <c r="P27" s="9">
        <v>0</v>
      </c>
      <c r="Q27" s="9">
        <v>0</v>
      </c>
      <c r="R27" s="9">
        <v>0</v>
      </c>
      <c r="S27" s="9">
        <v>0</v>
      </c>
      <c r="T27" s="4">
        <v>3.666666</v>
      </c>
      <c r="U27" s="11" t="s">
        <v>56</v>
      </c>
      <c r="V27" s="5">
        <v>2048.726</v>
      </c>
      <c r="W27" s="5">
        <v>93.123909090909</v>
      </c>
      <c r="X27" s="5">
        <v>3906.545</v>
      </c>
      <c r="Y27" s="5">
        <v>177.57022727273</v>
      </c>
      <c r="Z27" s="5">
        <v>1857.819</v>
      </c>
      <c r="AA27" s="5">
        <v>84.446318181818</v>
      </c>
      <c r="AB27" s="8">
        <v>0.47556574927461</v>
      </c>
      <c r="AC27" s="4">
        <v>22.0</v>
      </c>
      <c r="AD27" s="9">
        <v>0</v>
      </c>
      <c r="AE27" s="9">
        <v>0</v>
      </c>
      <c r="AF27" s="9">
        <v>0</v>
      </c>
      <c r="AG27" s="3">
        <v>0</v>
      </c>
      <c r="AH27" s="9">
        <v>0</v>
      </c>
      <c r="AI27" s="9">
        <v>0</v>
      </c>
      <c r="AJ27" s="9">
        <v>0</v>
      </c>
      <c r="AK27" s="9">
        <v>0</v>
      </c>
      <c r="AL27" s="9">
        <v>0</v>
      </c>
      <c r="AM27" s="9">
        <v>0</v>
      </c>
      <c r="AN27" s="9">
        <v>0</v>
      </c>
      <c r="AO27" s="9">
        <v>0</v>
      </c>
      <c r="AP27" s="3">
        <v>0</v>
      </c>
      <c r="AQ27" s="9">
        <v>0</v>
      </c>
      <c r="AR27" s="9">
        <v>0</v>
      </c>
      <c r="AS27" s="9">
        <v>0</v>
      </c>
      <c r="AT27" s="9">
        <v>0</v>
      </c>
      <c r="AU27" s="3">
        <v>0</v>
      </c>
      <c r="AV27" s="9">
        <v>0</v>
      </c>
      <c r="AW27" s="9">
        <v>0</v>
      </c>
    </row>
    <row r="28" spans="1:49">
      <c r="A28" s="3">
        <v>26</v>
      </c>
      <c r="B28" s="3" t="s">
        <v>100</v>
      </c>
      <c r="C28" t="s">
        <v>101</v>
      </c>
      <c r="D28" s="3" t="s">
        <v>64</v>
      </c>
      <c r="E28" s="9">
        <v>0</v>
      </c>
      <c r="F28" s="9">
        <v>0</v>
      </c>
      <c r="G28" s="4">
        <v>1.0</v>
      </c>
      <c r="H28" s="5">
        <v>1840.4</v>
      </c>
      <c r="I28" s="9">
        <v>0</v>
      </c>
      <c r="J28" s="9">
        <v>0</v>
      </c>
      <c r="K28" s="4">
        <v>1.272726</v>
      </c>
      <c r="L28" s="5">
        <v>2342.32493</v>
      </c>
      <c r="M28" s="6">
        <v>0.21428492857064</v>
      </c>
      <c r="N28" s="4">
        <v>1.0</v>
      </c>
      <c r="O28" s="4">
        <v>0.090909</v>
      </c>
      <c r="P28" s="9">
        <v>0</v>
      </c>
      <c r="Q28" s="9">
        <v>0</v>
      </c>
      <c r="R28" s="9">
        <v>0</v>
      </c>
      <c r="S28" s="9">
        <v>0</v>
      </c>
      <c r="T28" s="9">
        <v>0</v>
      </c>
      <c r="U28" s="11" t="s">
        <v>56</v>
      </c>
      <c r="V28" s="5">
        <v>1720.0</v>
      </c>
      <c r="W28" s="5">
        <v>1720.0</v>
      </c>
      <c r="X28" s="5">
        <v>2233.65</v>
      </c>
      <c r="Y28" s="5">
        <v>2233.65</v>
      </c>
      <c r="Z28" s="5">
        <v>513.65</v>
      </c>
      <c r="AA28" s="5">
        <v>513.65</v>
      </c>
      <c r="AB28" s="10">
        <v>0.22995993105455</v>
      </c>
      <c r="AC28" s="4">
        <v>1.0</v>
      </c>
      <c r="AD28" s="9">
        <v>0</v>
      </c>
      <c r="AE28" s="9">
        <v>0</v>
      </c>
      <c r="AF28" s="9">
        <v>0</v>
      </c>
      <c r="AG28" s="3">
        <v>0</v>
      </c>
      <c r="AH28" s="9">
        <v>0</v>
      </c>
      <c r="AI28" s="9">
        <v>0</v>
      </c>
      <c r="AJ28" s="9">
        <v>0</v>
      </c>
      <c r="AK28" s="9">
        <v>0</v>
      </c>
      <c r="AL28" s="9">
        <v>0</v>
      </c>
      <c r="AM28" s="9">
        <v>0</v>
      </c>
      <c r="AN28" s="9">
        <v>0</v>
      </c>
      <c r="AO28" s="9">
        <v>0</v>
      </c>
      <c r="AP28" s="3">
        <v>0</v>
      </c>
      <c r="AQ28" s="9">
        <v>0</v>
      </c>
      <c r="AR28" s="9">
        <v>0</v>
      </c>
      <c r="AS28" s="9">
        <v>0</v>
      </c>
      <c r="AT28" s="9">
        <v>0</v>
      </c>
      <c r="AU28" s="3">
        <v>0</v>
      </c>
      <c r="AV28" s="9">
        <v>0</v>
      </c>
      <c r="AW28" s="9">
        <v>0</v>
      </c>
    </row>
    <row r="29" spans="1:49">
      <c r="A29" s="3">
        <v>27</v>
      </c>
      <c r="B29" s="3" t="s">
        <v>102</v>
      </c>
      <c r="C29" t="s">
        <v>103</v>
      </c>
      <c r="D29" s="3" t="s">
        <v>64</v>
      </c>
      <c r="E29" s="9">
        <v>0</v>
      </c>
      <c r="F29" s="9">
        <v>0</v>
      </c>
      <c r="G29" s="4">
        <v>10.0</v>
      </c>
      <c r="H29" s="5">
        <v>1605.0</v>
      </c>
      <c r="I29" s="9">
        <v>0</v>
      </c>
      <c r="J29" s="9">
        <v>0</v>
      </c>
      <c r="K29" s="4">
        <v>10.181808</v>
      </c>
      <c r="L29" s="5">
        <v>1634.180184</v>
      </c>
      <c r="M29" s="6">
        <v>0.017856160713304</v>
      </c>
      <c r="N29" s="4">
        <v>8.0</v>
      </c>
      <c r="O29" s="4">
        <v>0.727272</v>
      </c>
      <c r="P29" s="4">
        <v>1.0</v>
      </c>
      <c r="Q29" s="4">
        <v>1.0</v>
      </c>
      <c r="R29" s="9">
        <v>0</v>
      </c>
      <c r="S29" s="9">
        <v>0</v>
      </c>
      <c r="T29" s="4">
        <v>1.5</v>
      </c>
      <c r="U29" s="11" t="s">
        <v>56</v>
      </c>
      <c r="V29" s="5">
        <v>1200.0</v>
      </c>
      <c r="W29" s="5">
        <v>150.0</v>
      </c>
      <c r="X29" s="5">
        <v>2467.291</v>
      </c>
      <c r="Y29" s="5">
        <v>308.411375</v>
      </c>
      <c r="Z29" s="5">
        <v>1267.291</v>
      </c>
      <c r="AA29" s="5">
        <v>158.411375</v>
      </c>
      <c r="AB29" s="8">
        <v>0.51363661602948</v>
      </c>
      <c r="AC29" s="4">
        <v>8.0</v>
      </c>
      <c r="AD29" s="9">
        <v>0</v>
      </c>
      <c r="AE29" s="9">
        <v>0</v>
      </c>
      <c r="AF29" s="9">
        <v>0</v>
      </c>
      <c r="AG29" s="3">
        <v>0</v>
      </c>
      <c r="AH29" s="9">
        <v>0</v>
      </c>
      <c r="AI29" s="9">
        <v>0</v>
      </c>
      <c r="AJ29" s="5">
        <v>150.0</v>
      </c>
      <c r="AK29" s="5">
        <v>150.0</v>
      </c>
      <c r="AL29" s="5">
        <v>233.645</v>
      </c>
      <c r="AM29" s="5">
        <v>233.645</v>
      </c>
      <c r="AN29" s="5">
        <v>83.645</v>
      </c>
      <c r="AO29" s="5">
        <v>83.645</v>
      </c>
      <c r="AP29" s="8">
        <v>0.35800038519977</v>
      </c>
      <c r="AQ29" s="4">
        <v>1.0</v>
      </c>
      <c r="AR29" s="9">
        <v>0</v>
      </c>
      <c r="AS29" s="9">
        <v>0</v>
      </c>
      <c r="AT29" s="9">
        <v>0</v>
      </c>
      <c r="AU29" s="3">
        <v>0</v>
      </c>
      <c r="AV29" s="9">
        <v>0</v>
      </c>
      <c r="AW29" s="9">
        <v>0</v>
      </c>
    </row>
    <row r="30" spans="1:49">
      <c r="A30" s="3">
        <v>28</v>
      </c>
      <c r="B30" s="3" t="s">
        <v>104</v>
      </c>
      <c r="C30" t="s">
        <v>105</v>
      </c>
      <c r="D30" s="3" t="s">
        <v>64</v>
      </c>
      <c r="E30" s="4">
        <v>10.0</v>
      </c>
      <c r="F30" s="5">
        <v>1200.01</v>
      </c>
      <c r="G30" s="4">
        <v>10.0</v>
      </c>
      <c r="H30" s="5">
        <v>1200.01</v>
      </c>
      <c r="I30" s="9">
        <v>0</v>
      </c>
      <c r="J30" s="9">
        <v>0</v>
      </c>
      <c r="K30" s="4">
        <v>3.818178</v>
      </c>
      <c r="L30" s="5">
        <v>458.185178</v>
      </c>
      <c r="M30" s="12">
        <v>-1.6190502380979</v>
      </c>
      <c r="N30" s="4">
        <v>3.0</v>
      </c>
      <c r="O30" s="4">
        <v>0.272727</v>
      </c>
      <c r="P30" s="9">
        <v>0</v>
      </c>
      <c r="Q30" s="9">
        <v>0</v>
      </c>
      <c r="R30" s="9">
        <v>0</v>
      </c>
      <c r="S30" s="9">
        <v>0</v>
      </c>
      <c r="T30" s="4">
        <v>0.5</v>
      </c>
      <c r="U30" s="11" t="s">
        <v>56</v>
      </c>
      <c r="V30" s="5">
        <v>336.45</v>
      </c>
      <c r="W30" s="5">
        <v>112.15</v>
      </c>
      <c r="X30" s="5">
        <v>439.253</v>
      </c>
      <c r="Y30" s="5">
        <v>146.41766666667</v>
      </c>
      <c r="Z30" s="5">
        <v>102.803</v>
      </c>
      <c r="AA30" s="5">
        <v>34.267666666667</v>
      </c>
      <c r="AB30" s="10">
        <v>0.23404051878985</v>
      </c>
      <c r="AC30" s="4">
        <v>3.0</v>
      </c>
      <c r="AD30" s="9">
        <v>0</v>
      </c>
      <c r="AE30" s="9">
        <v>0</v>
      </c>
      <c r="AF30" s="9">
        <v>0</v>
      </c>
      <c r="AG30" s="3">
        <v>0</v>
      </c>
      <c r="AH30" s="9">
        <v>0</v>
      </c>
      <c r="AI30" s="9">
        <v>0</v>
      </c>
      <c r="AJ30" s="9">
        <v>0</v>
      </c>
      <c r="AK30" s="9">
        <v>0</v>
      </c>
      <c r="AL30" s="9">
        <v>0</v>
      </c>
      <c r="AM30" s="9">
        <v>0</v>
      </c>
      <c r="AN30" s="9">
        <v>0</v>
      </c>
      <c r="AO30" s="9">
        <v>0</v>
      </c>
      <c r="AP30" s="3">
        <v>0</v>
      </c>
      <c r="AQ30" s="9">
        <v>0</v>
      </c>
      <c r="AR30" s="9">
        <v>0</v>
      </c>
      <c r="AS30" s="9">
        <v>0</v>
      </c>
      <c r="AT30" s="9">
        <v>0</v>
      </c>
      <c r="AU30" s="3">
        <v>0</v>
      </c>
      <c r="AV30" s="9">
        <v>0</v>
      </c>
      <c r="AW30" s="9">
        <v>0</v>
      </c>
    </row>
    <row r="31" spans="1:49">
      <c r="A31" s="3">
        <v>29</v>
      </c>
      <c r="B31" s="3" t="s">
        <v>106</v>
      </c>
      <c r="C31" t="s">
        <v>107</v>
      </c>
      <c r="D31" s="3" t="s">
        <v>64</v>
      </c>
      <c r="E31" s="4">
        <v>10.0</v>
      </c>
      <c r="F31" s="5">
        <v>1200.01</v>
      </c>
      <c r="G31" s="4">
        <v>10.0</v>
      </c>
      <c r="H31" s="5">
        <v>1129.99</v>
      </c>
      <c r="I31" s="9">
        <v>0</v>
      </c>
      <c r="J31" s="9">
        <v>0</v>
      </c>
      <c r="K31" s="9">
        <v>0</v>
      </c>
      <c r="L31" s="9">
        <v>0</v>
      </c>
      <c r="M31" s="13">
        <v>0</v>
      </c>
      <c r="N31" s="9">
        <v>0</v>
      </c>
      <c r="O31" s="9">
        <v>0</v>
      </c>
      <c r="P31" s="9">
        <v>0</v>
      </c>
      <c r="Q31" s="9">
        <v>0</v>
      </c>
      <c r="R31" s="9">
        <v>0</v>
      </c>
      <c r="S31" s="9">
        <v>0</v>
      </c>
      <c r="T31" s="9">
        <v>0</v>
      </c>
      <c r="U31" s="11" t="s">
        <v>56</v>
      </c>
      <c r="V31" s="9">
        <v>0</v>
      </c>
      <c r="W31" s="9">
        <v>0</v>
      </c>
      <c r="X31" s="9">
        <v>0</v>
      </c>
      <c r="Y31" s="9">
        <v>0</v>
      </c>
      <c r="Z31" s="9">
        <v>0</v>
      </c>
      <c r="AA31" s="9">
        <v>0</v>
      </c>
      <c r="AB31" s="3">
        <v>0</v>
      </c>
      <c r="AC31" s="9">
        <v>0</v>
      </c>
      <c r="AD31" s="9">
        <v>0</v>
      </c>
      <c r="AE31" s="9">
        <v>0</v>
      </c>
      <c r="AF31" s="9">
        <v>0</v>
      </c>
      <c r="AG31" s="3">
        <v>0</v>
      </c>
      <c r="AH31" s="9">
        <v>0</v>
      </c>
      <c r="AI31" s="9">
        <v>0</v>
      </c>
      <c r="AJ31" s="9">
        <v>0</v>
      </c>
      <c r="AK31" s="9">
        <v>0</v>
      </c>
      <c r="AL31" s="9">
        <v>0</v>
      </c>
      <c r="AM31" s="9">
        <v>0</v>
      </c>
      <c r="AN31" s="9">
        <v>0</v>
      </c>
      <c r="AO31" s="9">
        <v>0</v>
      </c>
      <c r="AP31" s="3">
        <v>0</v>
      </c>
      <c r="AQ31" s="9">
        <v>0</v>
      </c>
      <c r="AR31" s="9">
        <v>0</v>
      </c>
      <c r="AS31" s="9">
        <v>0</v>
      </c>
      <c r="AT31" s="9">
        <v>0</v>
      </c>
      <c r="AU31" s="3">
        <v>0</v>
      </c>
      <c r="AV31" s="9">
        <v>0</v>
      </c>
      <c r="AW31" s="9">
        <v>0</v>
      </c>
    </row>
    <row r="32" spans="1:49">
      <c r="A32" s="3">
        <v>30</v>
      </c>
      <c r="B32" s="3" t="s">
        <v>108</v>
      </c>
      <c r="C32" t="s">
        <v>109</v>
      </c>
      <c r="D32" s="3" t="s">
        <v>64</v>
      </c>
      <c r="E32" s="4">
        <v>20.0</v>
      </c>
      <c r="F32" s="5">
        <v>4320.0</v>
      </c>
      <c r="G32" s="4">
        <v>5.0</v>
      </c>
      <c r="H32" s="5">
        <v>1125.0</v>
      </c>
      <c r="I32" s="9">
        <v>0</v>
      </c>
      <c r="J32" s="9">
        <v>0</v>
      </c>
      <c r="K32" s="4">
        <v>1.272726</v>
      </c>
      <c r="L32" s="5">
        <v>286.36335</v>
      </c>
      <c r="M32" s="12">
        <v>-2.9285753571468</v>
      </c>
      <c r="N32" s="4">
        <v>1.0</v>
      </c>
      <c r="O32" s="4">
        <v>0.090909</v>
      </c>
      <c r="P32" s="9">
        <v>0</v>
      </c>
      <c r="Q32" s="9">
        <v>0</v>
      </c>
      <c r="R32" s="9">
        <v>0</v>
      </c>
      <c r="S32" s="9">
        <v>0</v>
      </c>
      <c r="T32" s="4">
        <v>0.166666</v>
      </c>
      <c r="U32" s="11" t="s">
        <v>56</v>
      </c>
      <c r="V32" s="5">
        <v>210.28</v>
      </c>
      <c r="W32" s="5">
        <v>210.28</v>
      </c>
      <c r="X32" s="5">
        <v>373.832</v>
      </c>
      <c r="Y32" s="5">
        <v>373.832</v>
      </c>
      <c r="Z32" s="5">
        <v>163.552</v>
      </c>
      <c r="AA32" s="5">
        <v>163.552</v>
      </c>
      <c r="AB32" s="8">
        <v>0.4375013374992</v>
      </c>
      <c r="AC32" s="4">
        <v>1.0</v>
      </c>
      <c r="AD32" s="9">
        <v>0</v>
      </c>
      <c r="AE32" s="9">
        <v>0</v>
      </c>
      <c r="AF32" s="9">
        <v>0</v>
      </c>
      <c r="AG32" s="3">
        <v>0</v>
      </c>
      <c r="AH32" s="9">
        <v>0</v>
      </c>
      <c r="AI32" s="9">
        <v>0</v>
      </c>
      <c r="AJ32" s="9">
        <v>0</v>
      </c>
      <c r="AK32" s="9">
        <v>0</v>
      </c>
      <c r="AL32" s="9">
        <v>0</v>
      </c>
      <c r="AM32" s="9">
        <v>0</v>
      </c>
      <c r="AN32" s="9">
        <v>0</v>
      </c>
      <c r="AO32" s="9">
        <v>0</v>
      </c>
      <c r="AP32" s="3">
        <v>0</v>
      </c>
      <c r="AQ32" s="9">
        <v>0</v>
      </c>
      <c r="AR32" s="9">
        <v>0</v>
      </c>
      <c r="AS32" s="9">
        <v>0</v>
      </c>
      <c r="AT32" s="9">
        <v>0</v>
      </c>
      <c r="AU32" s="3">
        <v>0</v>
      </c>
      <c r="AV32" s="9">
        <v>0</v>
      </c>
      <c r="AW32" s="9">
        <v>0</v>
      </c>
    </row>
    <row r="33" spans="1:49">
      <c r="A33" s="3">
        <v>31</v>
      </c>
      <c r="B33" s="3" t="s">
        <v>110</v>
      </c>
      <c r="C33" t="s">
        <v>111</v>
      </c>
      <c r="D33" s="3" t="s">
        <v>45</v>
      </c>
      <c r="E33" s="9">
        <v>0</v>
      </c>
      <c r="F33" s="9">
        <v>0</v>
      </c>
      <c r="G33" s="4">
        <v>10.0</v>
      </c>
      <c r="H33" s="5">
        <v>1000.0</v>
      </c>
      <c r="I33" s="9">
        <v>0</v>
      </c>
      <c r="J33" s="9">
        <v>0</v>
      </c>
      <c r="K33" s="4">
        <v>12.72726</v>
      </c>
      <c r="L33" s="5">
        <v>1272.726</v>
      </c>
      <c r="M33" s="6">
        <v>0.21428492857064</v>
      </c>
      <c r="N33" s="4">
        <v>10.0</v>
      </c>
      <c r="O33" s="4">
        <v>0.90909</v>
      </c>
      <c r="P33" s="9">
        <v>0</v>
      </c>
      <c r="Q33" s="9">
        <v>0</v>
      </c>
      <c r="R33" s="9">
        <v>0</v>
      </c>
      <c r="S33" s="9">
        <v>0</v>
      </c>
      <c r="T33" s="4">
        <v>1.666666</v>
      </c>
      <c r="U33" s="11" t="s">
        <v>56</v>
      </c>
      <c r="V33" s="5">
        <v>934.58</v>
      </c>
      <c r="W33" s="5">
        <v>93.458</v>
      </c>
      <c r="X33" s="5">
        <v>1682.24</v>
      </c>
      <c r="Y33" s="5">
        <v>168.224</v>
      </c>
      <c r="Z33" s="5">
        <v>747.66</v>
      </c>
      <c r="AA33" s="5">
        <v>74.766</v>
      </c>
      <c r="AB33" s="8">
        <v>0.44444312345444</v>
      </c>
      <c r="AC33" s="4">
        <v>10.0</v>
      </c>
      <c r="AD33" s="9">
        <v>0</v>
      </c>
      <c r="AE33" s="9">
        <v>0</v>
      </c>
      <c r="AF33" s="9">
        <v>0</v>
      </c>
      <c r="AG33" s="3">
        <v>0</v>
      </c>
      <c r="AH33" s="9">
        <v>0</v>
      </c>
      <c r="AI33" s="9">
        <v>0</v>
      </c>
      <c r="AJ33" s="9">
        <v>0</v>
      </c>
      <c r="AK33" s="9">
        <v>0</v>
      </c>
      <c r="AL33" s="9">
        <v>0</v>
      </c>
      <c r="AM33" s="9">
        <v>0</v>
      </c>
      <c r="AN33" s="9">
        <v>0</v>
      </c>
      <c r="AO33" s="9">
        <v>0</v>
      </c>
      <c r="AP33" s="3">
        <v>0</v>
      </c>
      <c r="AQ33" s="9">
        <v>0</v>
      </c>
      <c r="AR33" s="9">
        <v>0</v>
      </c>
      <c r="AS33" s="9">
        <v>0</v>
      </c>
      <c r="AT33" s="9">
        <v>0</v>
      </c>
      <c r="AU33" s="3">
        <v>0</v>
      </c>
      <c r="AV33" s="9">
        <v>0</v>
      </c>
      <c r="AW33" s="9">
        <v>0</v>
      </c>
    </row>
    <row r="34" spans="1:49">
      <c r="A34" s="3">
        <v>32</v>
      </c>
      <c r="B34" s="3" t="s">
        <v>112</v>
      </c>
      <c r="C34" t="s">
        <v>113</v>
      </c>
      <c r="D34" s="3" t="s">
        <v>45</v>
      </c>
      <c r="E34" s="9">
        <v>0</v>
      </c>
      <c r="F34" s="9">
        <v>0</v>
      </c>
      <c r="G34" s="4">
        <v>1.0</v>
      </c>
      <c r="H34" s="5">
        <v>810.0</v>
      </c>
      <c r="I34" s="9">
        <v>0</v>
      </c>
      <c r="J34" s="9">
        <v>0</v>
      </c>
      <c r="K34" s="4">
        <v>2.545452</v>
      </c>
      <c r="L34" s="5">
        <v>2061.81612</v>
      </c>
      <c r="M34" s="6">
        <v>0.60714246428532</v>
      </c>
      <c r="N34" s="4">
        <v>2.0</v>
      </c>
      <c r="O34" s="4">
        <v>0.181818</v>
      </c>
      <c r="P34" s="9">
        <v>0</v>
      </c>
      <c r="Q34" s="9">
        <v>0</v>
      </c>
      <c r="R34" s="9">
        <v>0</v>
      </c>
      <c r="S34" s="9">
        <v>0</v>
      </c>
      <c r="T34" s="4">
        <v>0.333333</v>
      </c>
      <c r="U34" s="11" t="s">
        <v>56</v>
      </c>
      <c r="V34" s="5">
        <v>1438.31</v>
      </c>
      <c r="W34" s="5">
        <v>719.155</v>
      </c>
      <c r="X34" s="5">
        <v>2242.99</v>
      </c>
      <c r="Y34" s="5">
        <v>1121.495</v>
      </c>
      <c r="Z34" s="5">
        <v>804.68</v>
      </c>
      <c r="AA34" s="5">
        <v>402.34</v>
      </c>
      <c r="AB34" s="8">
        <v>0.35875327130304</v>
      </c>
      <c r="AC34" s="4">
        <v>2.0</v>
      </c>
      <c r="AD34" s="9">
        <v>0</v>
      </c>
      <c r="AE34" s="9">
        <v>0</v>
      </c>
      <c r="AF34" s="9">
        <v>0</v>
      </c>
      <c r="AG34" s="3">
        <v>0</v>
      </c>
      <c r="AH34" s="9">
        <v>0</v>
      </c>
      <c r="AI34" s="9">
        <v>0</v>
      </c>
      <c r="AJ34" s="9">
        <v>0</v>
      </c>
      <c r="AK34" s="9">
        <v>0</v>
      </c>
      <c r="AL34" s="9">
        <v>0</v>
      </c>
      <c r="AM34" s="9">
        <v>0</v>
      </c>
      <c r="AN34" s="9">
        <v>0</v>
      </c>
      <c r="AO34" s="9">
        <v>0</v>
      </c>
      <c r="AP34" s="3">
        <v>0</v>
      </c>
      <c r="AQ34" s="9">
        <v>0</v>
      </c>
      <c r="AR34" s="9">
        <v>0</v>
      </c>
      <c r="AS34" s="9">
        <v>0</v>
      </c>
      <c r="AT34" s="9">
        <v>0</v>
      </c>
      <c r="AU34" s="3">
        <v>0</v>
      </c>
      <c r="AV34" s="9">
        <v>0</v>
      </c>
      <c r="AW34" s="9">
        <v>0</v>
      </c>
    </row>
    <row r="35" spans="1:49">
      <c r="A35" s="3">
        <v>33</v>
      </c>
      <c r="B35" s="3" t="s">
        <v>114</v>
      </c>
      <c r="C35" t="s">
        <v>115</v>
      </c>
      <c r="D35" s="3" t="s">
        <v>64</v>
      </c>
      <c r="E35" s="9">
        <v>0</v>
      </c>
      <c r="F35" s="9">
        <v>0</v>
      </c>
      <c r="G35" s="4">
        <v>5.0</v>
      </c>
      <c r="H35" s="5">
        <v>750.0</v>
      </c>
      <c r="I35" s="9">
        <v>0</v>
      </c>
      <c r="J35" s="9">
        <v>0</v>
      </c>
      <c r="K35" s="4">
        <v>6.36363</v>
      </c>
      <c r="L35" s="5">
        <v>954.5445</v>
      </c>
      <c r="M35" s="6">
        <v>0.21428492857064</v>
      </c>
      <c r="N35" s="4">
        <v>5.0</v>
      </c>
      <c r="O35" s="4">
        <v>0.454545</v>
      </c>
      <c r="P35" s="9">
        <v>0</v>
      </c>
      <c r="Q35" s="9">
        <v>0</v>
      </c>
      <c r="R35" s="9">
        <v>0</v>
      </c>
      <c r="S35" s="9">
        <v>0</v>
      </c>
      <c r="T35" s="4">
        <v>0.833333</v>
      </c>
      <c r="U35" s="11" t="s">
        <v>56</v>
      </c>
      <c r="V35" s="5">
        <v>700.93</v>
      </c>
      <c r="W35" s="5">
        <v>140.186</v>
      </c>
      <c r="X35" s="5">
        <v>953.272</v>
      </c>
      <c r="Y35" s="5">
        <v>190.6544</v>
      </c>
      <c r="Z35" s="5">
        <v>252.342</v>
      </c>
      <c r="AA35" s="5">
        <v>50.4684</v>
      </c>
      <c r="AB35" s="8">
        <v>0.2647114359805</v>
      </c>
      <c r="AC35" s="4">
        <v>5.0</v>
      </c>
      <c r="AD35" s="9">
        <v>0</v>
      </c>
      <c r="AE35" s="9">
        <v>0</v>
      </c>
      <c r="AF35" s="9">
        <v>0</v>
      </c>
      <c r="AG35" s="3">
        <v>0</v>
      </c>
      <c r="AH35" s="9">
        <v>0</v>
      </c>
      <c r="AI35" s="9">
        <v>0</v>
      </c>
      <c r="AJ35" s="9">
        <v>0</v>
      </c>
      <c r="AK35" s="9">
        <v>0</v>
      </c>
      <c r="AL35" s="9">
        <v>0</v>
      </c>
      <c r="AM35" s="9">
        <v>0</v>
      </c>
      <c r="AN35" s="9">
        <v>0</v>
      </c>
      <c r="AO35" s="9">
        <v>0</v>
      </c>
      <c r="AP35" s="3">
        <v>0</v>
      </c>
      <c r="AQ35" s="9">
        <v>0</v>
      </c>
      <c r="AR35" s="9">
        <v>0</v>
      </c>
      <c r="AS35" s="9">
        <v>0</v>
      </c>
      <c r="AT35" s="9">
        <v>0</v>
      </c>
      <c r="AU35" s="3">
        <v>0</v>
      </c>
      <c r="AV35" s="9">
        <v>0</v>
      </c>
      <c r="AW35" s="9">
        <v>0</v>
      </c>
    </row>
    <row r="36" spans="1:49">
      <c r="A36" s="3">
        <v>34</v>
      </c>
      <c r="B36" s="3" t="s">
        <v>116</v>
      </c>
      <c r="C36" t="s">
        <v>117</v>
      </c>
      <c r="D36" s="3" t="s">
        <v>59</v>
      </c>
      <c r="E36" s="4">
        <v>29.0</v>
      </c>
      <c r="F36" s="5">
        <v>1861.8</v>
      </c>
      <c r="G36" s="4">
        <v>7.0</v>
      </c>
      <c r="H36" s="5">
        <v>524.3</v>
      </c>
      <c r="I36" s="9">
        <v>0</v>
      </c>
      <c r="J36" s="9">
        <v>0</v>
      </c>
      <c r="K36" s="4">
        <v>8.909082</v>
      </c>
      <c r="L36" s="5">
        <v>667.290242</v>
      </c>
      <c r="M36" s="6">
        <v>0.21428492857064</v>
      </c>
      <c r="N36" s="4">
        <v>7.0</v>
      </c>
      <c r="O36" s="4">
        <v>0.636363</v>
      </c>
      <c r="P36" s="9">
        <v>0</v>
      </c>
      <c r="Q36" s="9">
        <v>0</v>
      </c>
      <c r="R36" s="9">
        <v>0</v>
      </c>
      <c r="S36" s="9">
        <v>0</v>
      </c>
      <c r="T36" s="4">
        <v>1.166666</v>
      </c>
      <c r="U36" s="11" t="s">
        <v>56</v>
      </c>
      <c r="V36" s="5">
        <v>490.0</v>
      </c>
      <c r="W36" s="5">
        <v>70.0</v>
      </c>
      <c r="X36" s="5">
        <v>621.25</v>
      </c>
      <c r="Y36" s="5">
        <v>88.75</v>
      </c>
      <c r="Z36" s="5">
        <v>131.25</v>
      </c>
      <c r="AA36" s="5">
        <v>18.75</v>
      </c>
      <c r="AB36" s="10">
        <v>0.2112676056338</v>
      </c>
      <c r="AC36" s="4">
        <v>7.0</v>
      </c>
      <c r="AD36" s="9">
        <v>0</v>
      </c>
      <c r="AE36" s="9">
        <v>0</v>
      </c>
      <c r="AF36" s="9">
        <v>0</v>
      </c>
      <c r="AG36" s="3">
        <v>0</v>
      </c>
      <c r="AH36" s="9">
        <v>0</v>
      </c>
      <c r="AI36" s="9">
        <v>0</v>
      </c>
      <c r="AJ36" s="9">
        <v>0</v>
      </c>
      <c r="AK36" s="9">
        <v>0</v>
      </c>
      <c r="AL36" s="9">
        <v>0</v>
      </c>
      <c r="AM36" s="9">
        <v>0</v>
      </c>
      <c r="AN36" s="9">
        <v>0</v>
      </c>
      <c r="AO36" s="9">
        <v>0</v>
      </c>
      <c r="AP36" s="3">
        <v>0</v>
      </c>
      <c r="AQ36" s="9">
        <v>0</v>
      </c>
      <c r="AR36" s="9">
        <v>0</v>
      </c>
      <c r="AS36" s="9">
        <v>0</v>
      </c>
      <c r="AT36" s="9">
        <v>0</v>
      </c>
      <c r="AU36" s="3">
        <v>0</v>
      </c>
      <c r="AV36" s="9">
        <v>0</v>
      </c>
      <c r="AW36" s="9">
        <v>0</v>
      </c>
    </row>
    <row r="37" spans="1:49">
      <c r="A37" s="3">
        <v>35</v>
      </c>
      <c r="B37" s="3" t="s">
        <v>118</v>
      </c>
      <c r="C37" t="s">
        <v>119</v>
      </c>
      <c r="D37" s="3" t="s">
        <v>64</v>
      </c>
      <c r="E37" s="9">
        <v>0</v>
      </c>
      <c r="F37" s="9">
        <v>0</v>
      </c>
      <c r="G37" s="4">
        <v>1.0</v>
      </c>
      <c r="H37" s="5">
        <v>340.0</v>
      </c>
      <c r="I37" s="9">
        <v>0</v>
      </c>
      <c r="J37" s="9">
        <v>0</v>
      </c>
      <c r="K37" s="4">
        <v>1.272726</v>
      </c>
      <c r="L37" s="5">
        <v>432.72684</v>
      </c>
      <c r="M37" s="6">
        <v>0.21428492857064</v>
      </c>
      <c r="N37" s="4">
        <v>1.0</v>
      </c>
      <c r="O37" s="4">
        <v>0.090909</v>
      </c>
      <c r="P37" s="9">
        <v>0</v>
      </c>
      <c r="Q37" s="9">
        <v>0</v>
      </c>
      <c r="R37" s="9">
        <v>0</v>
      </c>
      <c r="S37" s="9">
        <v>0</v>
      </c>
      <c r="T37" s="4">
        <v>0.166666</v>
      </c>
      <c r="U37" s="11" t="s">
        <v>56</v>
      </c>
      <c r="V37" s="5">
        <v>317.76</v>
      </c>
      <c r="W37" s="5">
        <v>317.76</v>
      </c>
      <c r="X37" s="5">
        <v>450.0</v>
      </c>
      <c r="Y37" s="5">
        <v>450.0</v>
      </c>
      <c r="Z37" s="5">
        <v>132.24</v>
      </c>
      <c r="AA37" s="5">
        <v>132.24</v>
      </c>
      <c r="AB37" s="8">
        <v>0.29386666666667</v>
      </c>
      <c r="AC37" s="4">
        <v>1.0</v>
      </c>
      <c r="AD37" s="9">
        <v>0</v>
      </c>
      <c r="AE37" s="9">
        <v>0</v>
      </c>
      <c r="AF37" s="9">
        <v>0</v>
      </c>
      <c r="AG37" s="3">
        <v>0</v>
      </c>
      <c r="AH37" s="9">
        <v>0</v>
      </c>
      <c r="AI37" s="9">
        <v>0</v>
      </c>
      <c r="AJ37" s="9">
        <v>0</v>
      </c>
      <c r="AK37" s="9">
        <v>0</v>
      </c>
      <c r="AL37" s="9">
        <v>0</v>
      </c>
      <c r="AM37" s="9">
        <v>0</v>
      </c>
      <c r="AN37" s="9">
        <v>0</v>
      </c>
      <c r="AO37" s="9">
        <v>0</v>
      </c>
      <c r="AP37" s="3">
        <v>0</v>
      </c>
      <c r="AQ37" s="9">
        <v>0</v>
      </c>
      <c r="AR37" s="9">
        <v>0</v>
      </c>
      <c r="AS37" s="9">
        <v>0</v>
      </c>
      <c r="AT37" s="9">
        <v>0</v>
      </c>
      <c r="AU37" s="3">
        <v>0</v>
      </c>
      <c r="AV37" s="9">
        <v>0</v>
      </c>
      <c r="AW37" s="9">
        <v>0</v>
      </c>
    </row>
    <row r="38" spans="1:49">
      <c r="A38" s="3">
        <v>36</v>
      </c>
      <c r="B38" s="3" t="s">
        <v>120</v>
      </c>
      <c r="C38" t="s">
        <v>121</v>
      </c>
      <c r="D38" s="3" t="s">
        <v>64</v>
      </c>
      <c r="E38" s="4">
        <v>2.0</v>
      </c>
      <c r="F38" s="5">
        <v>37000.0</v>
      </c>
      <c r="G38" s="9">
        <v>0</v>
      </c>
      <c r="H38" s="9">
        <v>0</v>
      </c>
      <c r="I38" s="9">
        <v>0</v>
      </c>
      <c r="J38" s="9">
        <v>0</v>
      </c>
      <c r="K38" s="4">
        <v>1.272726</v>
      </c>
      <c r="L38" s="5">
        <v>21636.342</v>
      </c>
      <c r="M38" s="6">
        <v>1.0</v>
      </c>
      <c r="N38" s="4">
        <v>1.0</v>
      </c>
      <c r="O38" s="4">
        <v>0.090909</v>
      </c>
      <c r="P38" s="9">
        <v>0</v>
      </c>
      <c r="Q38" s="9">
        <v>0</v>
      </c>
      <c r="R38" s="9">
        <v>0</v>
      </c>
      <c r="S38" s="9">
        <v>0</v>
      </c>
      <c r="T38" s="4">
        <v>0.166666</v>
      </c>
      <c r="U38" s="11" t="s">
        <v>56</v>
      </c>
      <c r="V38" s="5">
        <v>15887.85</v>
      </c>
      <c r="W38" s="5">
        <v>15887.85</v>
      </c>
      <c r="X38" s="5">
        <v>18224.299</v>
      </c>
      <c r="Y38" s="5">
        <v>18224.299</v>
      </c>
      <c r="Z38" s="5">
        <v>2336.449</v>
      </c>
      <c r="AA38" s="5">
        <v>2336.449</v>
      </c>
      <c r="AB38" s="10">
        <v>0.12820515071663</v>
      </c>
      <c r="AC38" s="4">
        <v>1.0</v>
      </c>
      <c r="AD38" s="9">
        <v>0</v>
      </c>
      <c r="AE38" s="9">
        <v>0</v>
      </c>
      <c r="AF38" s="9">
        <v>0</v>
      </c>
      <c r="AG38" s="3">
        <v>0</v>
      </c>
      <c r="AH38" s="9">
        <v>0</v>
      </c>
      <c r="AI38" s="9">
        <v>0</v>
      </c>
      <c r="AJ38" s="9">
        <v>0</v>
      </c>
      <c r="AK38" s="9">
        <v>0</v>
      </c>
      <c r="AL38" s="9">
        <v>0</v>
      </c>
      <c r="AM38" s="9">
        <v>0</v>
      </c>
      <c r="AN38" s="9">
        <v>0</v>
      </c>
      <c r="AO38" s="9">
        <v>0</v>
      </c>
      <c r="AP38" s="3">
        <v>0</v>
      </c>
      <c r="AQ38" s="9">
        <v>0</v>
      </c>
      <c r="AR38" s="9">
        <v>0</v>
      </c>
      <c r="AS38" s="9">
        <v>0</v>
      </c>
      <c r="AT38" s="9">
        <v>0</v>
      </c>
      <c r="AU38" s="3">
        <v>0</v>
      </c>
      <c r="AV38" s="9">
        <v>0</v>
      </c>
      <c r="AW38" s="9">
        <v>0</v>
      </c>
    </row>
    <row r="39" spans="1:49">
      <c r="A39" s="3">
        <v>37</v>
      </c>
      <c r="B39" s="3" t="s">
        <v>122</v>
      </c>
      <c r="C39" t="s">
        <v>123</v>
      </c>
      <c r="D39" s="3" t="s">
        <v>64</v>
      </c>
      <c r="E39" s="4">
        <v>1.0</v>
      </c>
      <c r="F39" s="5">
        <v>18500.0</v>
      </c>
      <c r="G39" s="9">
        <v>0</v>
      </c>
      <c r="H39" s="9">
        <v>0</v>
      </c>
      <c r="I39" s="9">
        <v>0</v>
      </c>
      <c r="J39" s="9">
        <v>0</v>
      </c>
      <c r="K39" s="9">
        <v>0</v>
      </c>
      <c r="L39" s="9">
        <v>0</v>
      </c>
      <c r="M39" s="13">
        <v>0</v>
      </c>
      <c r="N39" s="9">
        <v>0</v>
      </c>
      <c r="O39" s="9">
        <v>0</v>
      </c>
      <c r="P39" s="9">
        <v>0</v>
      </c>
      <c r="Q39" s="9">
        <v>0</v>
      </c>
      <c r="R39" s="9">
        <v>0</v>
      </c>
      <c r="S39" s="9">
        <v>0</v>
      </c>
      <c r="T39" s="9">
        <v>0</v>
      </c>
      <c r="U39" s="11" t="s">
        <v>56</v>
      </c>
      <c r="V39" s="9">
        <v>0</v>
      </c>
      <c r="W39" s="9">
        <v>0</v>
      </c>
      <c r="X39" s="9">
        <v>0</v>
      </c>
      <c r="Y39" s="9">
        <v>0</v>
      </c>
      <c r="Z39" s="9">
        <v>0</v>
      </c>
      <c r="AA39" s="9">
        <v>0</v>
      </c>
      <c r="AB39" s="3">
        <v>0</v>
      </c>
      <c r="AC39" s="9">
        <v>0</v>
      </c>
      <c r="AD39" s="9">
        <v>0</v>
      </c>
      <c r="AE39" s="9">
        <v>0</v>
      </c>
      <c r="AF39" s="9">
        <v>0</v>
      </c>
      <c r="AG39" s="3">
        <v>0</v>
      </c>
      <c r="AH39" s="9">
        <v>0</v>
      </c>
      <c r="AI39" s="9">
        <v>0</v>
      </c>
      <c r="AJ39" s="9">
        <v>0</v>
      </c>
      <c r="AK39" s="9">
        <v>0</v>
      </c>
      <c r="AL39" s="9">
        <v>0</v>
      </c>
      <c r="AM39" s="9">
        <v>0</v>
      </c>
      <c r="AN39" s="9">
        <v>0</v>
      </c>
      <c r="AO39" s="9">
        <v>0</v>
      </c>
      <c r="AP39" s="3">
        <v>0</v>
      </c>
      <c r="AQ39" s="9">
        <v>0</v>
      </c>
      <c r="AR39" s="9">
        <v>0</v>
      </c>
      <c r="AS39" s="9">
        <v>0</v>
      </c>
      <c r="AT39" s="9">
        <v>0</v>
      </c>
      <c r="AU39" s="3">
        <v>0</v>
      </c>
      <c r="AV39" s="9">
        <v>0</v>
      </c>
      <c r="AW39" s="9">
        <v>0</v>
      </c>
    </row>
    <row r="40" spans="1:49">
      <c r="A40" s="3">
        <v>38</v>
      </c>
      <c r="B40" s="3" t="s">
        <v>124</v>
      </c>
      <c r="C40" t="s">
        <v>125</v>
      </c>
      <c r="D40" s="3" t="s">
        <v>48</v>
      </c>
      <c r="E40" s="4">
        <v>15.0</v>
      </c>
      <c r="F40" s="5">
        <v>63535.013</v>
      </c>
      <c r="G40" s="9">
        <v>0</v>
      </c>
      <c r="H40" s="9">
        <v>0</v>
      </c>
      <c r="I40" s="9">
        <v>0</v>
      </c>
      <c r="J40" s="9">
        <v>0</v>
      </c>
      <c r="K40" s="4">
        <v>3.818178</v>
      </c>
      <c r="L40" s="5">
        <v>15604.12985</v>
      </c>
      <c r="M40" s="6">
        <v>1.0</v>
      </c>
      <c r="N40" s="4">
        <v>3.0</v>
      </c>
      <c r="O40" s="4">
        <v>0.272727</v>
      </c>
      <c r="P40" s="9">
        <v>0</v>
      </c>
      <c r="Q40" s="9">
        <v>0</v>
      </c>
      <c r="R40" s="4">
        <v>2.0</v>
      </c>
      <c r="S40" s="5">
        <v>8173.6</v>
      </c>
      <c r="T40" s="4">
        <v>0.5</v>
      </c>
      <c r="U40" s="7">
        <v>4.0</v>
      </c>
      <c r="V40" s="5">
        <v>10964.68</v>
      </c>
      <c r="W40" s="5">
        <v>3654.8933333333</v>
      </c>
      <c r="X40" s="5">
        <v>3551.402</v>
      </c>
      <c r="Y40" s="5">
        <v>1183.8006666667</v>
      </c>
      <c r="Z40" s="5">
        <v>-7413.278</v>
      </c>
      <c r="AA40" s="5">
        <v>-2471.0926666667</v>
      </c>
      <c r="AB40" s="14">
        <v>-2.0874229388844</v>
      </c>
      <c r="AC40" s="4">
        <v>3.0</v>
      </c>
      <c r="AD40" s="9">
        <v>0</v>
      </c>
      <c r="AE40" s="9">
        <v>0</v>
      </c>
      <c r="AF40" s="9">
        <v>0</v>
      </c>
      <c r="AG40" s="3">
        <v>0</v>
      </c>
      <c r="AH40" s="9">
        <v>0</v>
      </c>
      <c r="AI40" s="9">
        <v>0</v>
      </c>
      <c r="AJ40" s="9">
        <v>0</v>
      </c>
      <c r="AK40" s="9">
        <v>0</v>
      </c>
      <c r="AL40" s="9">
        <v>0</v>
      </c>
      <c r="AM40" s="9">
        <v>0</v>
      </c>
      <c r="AN40" s="9">
        <v>0</v>
      </c>
      <c r="AO40" s="9">
        <v>0</v>
      </c>
      <c r="AP40" s="3">
        <v>0</v>
      </c>
      <c r="AQ40" s="9">
        <v>0</v>
      </c>
      <c r="AR40" s="9">
        <v>0</v>
      </c>
      <c r="AS40" s="9">
        <v>0</v>
      </c>
      <c r="AT40" s="9">
        <v>0</v>
      </c>
      <c r="AU40" s="3">
        <v>0</v>
      </c>
      <c r="AV40" s="9">
        <v>0</v>
      </c>
      <c r="AW40" s="9">
        <v>0</v>
      </c>
    </row>
    <row r="41" spans="1:49">
      <c r="A41" s="3">
        <v>39</v>
      </c>
      <c r="B41" s="3" t="s">
        <v>126</v>
      </c>
      <c r="C41" t="s">
        <v>127</v>
      </c>
      <c r="D41" s="3" t="s">
        <v>59</v>
      </c>
      <c r="E41" s="4">
        <v>1.0</v>
      </c>
      <c r="F41" s="5">
        <v>7999.994</v>
      </c>
      <c r="G41" s="9">
        <v>0</v>
      </c>
      <c r="H41" s="9">
        <v>0</v>
      </c>
      <c r="I41" s="9">
        <v>0</v>
      </c>
      <c r="J41" s="9">
        <v>0</v>
      </c>
      <c r="K41" s="9">
        <v>0</v>
      </c>
      <c r="L41" s="9">
        <v>0</v>
      </c>
      <c r="M41" s="13">
        <v>0</v>
      </c>
      <c r="N41" s="9">
        <v>0</v>
      </c>
      <c r="O41" s="9">
        <v>0</v>
      </c>
      <c r="P41" s="9">
        <v>0</v>
      </c>
      <c r="Q41" s="9">
        <v>0</v>
      </c>
      <c r="R41" s="9">
        <v>0</v>
      </c>
      <c r="S41" s="9">
        <v>0</v>
      </c>
      <c r="T41" s="9">
        <v>0</v>
      </c>
      <c r="U41" s="11" t="s">
        <v>56</v>
      </c>
      <c r="V41" s="9">
        <v>0</v>
      </c>
      <c r="W41" s="9">
        <v>0</v>
      </c>
      <c r="X41" s="9">
        <v>0</v>
      </c>
      <c r="Y41" s="9">
        <v>0</v>
      </c>
      <c r="Z41" s="9">
        <v>0</v>
      </c>
      <c r="AA41" s="9">
        <v>0</v>
      </c>
      <c r="AB41" s="3">
        <v>0</v>
      </c>
      <c r="AC41" s="9">
        <v>0</v>
      </c>
      <c r="AD41" s="9">
        <v>0</v>
      </c>
      <c r="AE41" s="9">
        <v>0</v>
      </c>
      <c r="AF41" s="9">
        <v>0</v>
      </c>
      <c r="AG41" s="3">
        <v>0</v>
      </c>
      <c r="AH41" s="9">
        <v>0</v>
      </c>
      <c r="AI41" s="9">
        <v>0</v>
      </c>
      <c r="AJ41" s="9">
        <v>0</v>
      </c>
      <c r="AK41" s="9">
        <v>0</v>
      </c>
      <c r="AL41" s="9">
        <v>0</v>
      </c>
      <c r="AM41" s="9">
        <v>0</v>
      </c>
      <c r="AN41" s="9">
        <v>0</v>
      </c>
      <c r="AO41" s="9">
        <v>0</v>
      </c>
      <c r="AP41" s="3">
        <v>0</v>
      </c>
      <c r="AQ41" s="9">
        <v>0</v>
      </c>
      <c r="AR41" s="9">
        <v>0</v>
      </c>
      <c r="AS41" s="9">
        <v>0</v>
      </c>
      <c r="AT41" s="9">
        <v>0</v>
      </c>
      <c r="AU41" s="3">
        <v>0</v>
      </c>
      <c r="AV41" s="9">
        <v>0</v>
      </c>
      <c r="AW41" s="9">
        <v>0</v>
      </c>
    </row>
    <row r="42" spans="1:49">
      <c r="A42" s="3">
        <v>40</v>
      </c>
      <c r="B42" s="3" t="s">
        <v>128</v>
      </c>
      <c r="C42" t="s">
        <v>129</v>
      </c>
      <c r="D42" s="3" t="s">
        <v>51</v>
      </c>
      <c r="E42" s="4">
        <v>50.0</v>
      </c>
      <c r="F42" s="5">
        <v>1450.0</v>
      </c>
      <c r="G42" s="9">
        <v>0</v>
      </c>
      <c r="H42" s="9">
        <v>0</v>
      </c>
      <c r="I42" s="9">
        <v>0</v>
      </c>
      <c r="J42" s="9">
        <v>0</v>
      </c>
      <c r="K42" s="4">
        <v>8403.818178</v>
      </c>
      <c r="L42" s="5">
        <v>232785.763531</v>
      </c>
      <c r="M42" s="6">
        <v>1.0</v>
      </c>
      <c r="N42" s="4">
        <v>6999.0</v>
      </c>
      <c r="O42" s="4">
        <v>600.272727</v>
      </c>
      <c r="P42" s="4">
        <v>1180.0</v>
      </c>
      <c r="Q42" s="4">
        <v>705.0</v>
      </c>
      <c r="R42" s="4">
        <v>4744.0</v>
      </c>
      <c r="S42" s="5">
        <v>131408.8</v>
      </c>
      <c r="T42" s="4">
        <v>1217.666666</v>
      </c>
      <c r="U42" s="7">
        <v>3.8959759123438</v>
      </c>
      <c r="V42" s="5">
        <v>205155.334</v>
      </c>
      <c r="W42" s="5">
        <v>29.3120922989</v>
      </c>
      <c r="X42" s="5">
        <v>293400.1</v>
      </c>
      <c r="Y42" s="5">
        <v>41.920288612659</v>
      </c>
      <c r="Z42" s="5">
        <v>88244.766</v>
      </c>
      <c r="AA42" s="5">
        <v>12.608196313759</v>
      </c>
      <c r="AB42" s="8">
        <v>0.30076597110908</v>
      </c>
      <c r="AC42" s="4">
        <v>6999.0</v>
      </c>
      <c r="AD42" s="9">
        <v>0</v>
      </c>
      <c r="AE42" s="9">
        <v>0</v>
      </c>
      <c r="AF42" s="9">
        <v>0</v>
      </c>
      <c r="AG42" s="3">
        <v>0</v>
      </c>
      <c r="AH42" s="9">
        <v>0</v>
      </c>
      <c r="AI42" s="9">
        <v>0</v>
      </c>
      <c r="AJ42" s="5">
        <v>33225.68</v>
      </c>
      <c r="AK42" s="5">
        <v>28.157355932203</v>
      </c>
      <c r="AL42" s="5">
        <v>51069.194</v>
      </c>
      <c r="AM42" s="5">
        <v>43.278977966102</v>
      </c>
      <c r="AN42" s="5">
        <v>17843.514</v>
      </c>
      <c r="AO42" s="5">
        <v>15.121622033898</v>
      </c>
      <c r="AP42" s="8">
        <v>0.34939877844949</v>
      </c>
      <c r="AQ42" s="4">
        <v>1180.0</v>
      </c>
      <c r="AR42" s="9">
        <v>0</v>
      </c>
      <c r="AS42" s="9">
        <v>0</v>
      </c>
      <c r="AT42" s="9">
        <v>0</v>
      </c>
      <c r="AU42" s="3">
        <v>0</v>
      </c>
      <c r="AV42" s="9">
        <v>0</v>
      </c>
      <c r="AW42" s="9">
        <v>0</v>
      </c>
    </row>
    <row r="43" spans="1:49">
      <c r="A43" s="3">
        <v>41</v>
      </c>
      <c r="B43" s="3" t="s">
        <v>130</v>
      </c>
      <c r="C43" t="s">
        <v>131</v>
      </c>
      <c r="D43" s="3" t="s">
        <v>64</v>
      </c>
      <c r="E43" s="4">
        <v>1.0</v>
      </c>
      <c r="F43" s="5">
        <v>6741.0</v>
      </c>
      <c r="G43" s="9">
        <v>0</v>
      </c>
      <c r="H43" s="9">
        <v>0</v>
      </c>
      <c r="I43" s="9">
        <v>0</v>
      </c>
      <c r="J43" s="9">
        <v>0</v>
      </c>
      <c r="K43" s="9">
        <v>0</v>
      </c>
      <c r="L43" s="9">
        <v>0</v>
      </c>
      <c r="M43" s="13">
        <v>0</v>
      </c>
      <c r="N43" s="9">
        <v>0</v>
      </c>
      <c r="O43" s="9">
        <v>0</v>
      </c>
      <c r="P43" s="9">
        <v>0</v>
      </c>
      <c r="Q43" s="9">
        <v>0</v>
      </c>
      <c r="R43" s="9">
        <v>0</v>
      </c>
      <c r="S43" s="9">
        <v>0</v>
      </c>
      <c r="T43" s="9">
        <v>0</v>
      </c>
      <c r="U43" s="11" t="s">
        <v>56</v>
      </c>
      <c r="V43" s="9">
        <v>0</v>
      </c>
      <c r="W43" s="9">
        <v>0</v>
      </c>
      <c r="X43" s="9">
        <v>0</v>
      </c>
      <c r="Y43" s="9">
        <v>0</v>
      </c>
      <c r="Z43" s="9">
        <v>0</v>
      </c>
      <c r="AA43" s="9">
        <v>0</v>
      </c>
      <c r="AB43" s="3">
        <v>0</v>
      </c>
      <c r="AC43" s="9">
        <v>0</v>
      </c>
      <c r="AD43" s="9">
        <v>0</v>
      </c>
      <c r="AE43" s="9">
        <v>0</v>
      </c>
      <c r="AF43" s="9">
        <v>0</v>
      </c>
      <c r="AG43" s="3">
        <v>0</v>
      </c>
      <c r="AH43" s="9">
        <v>0</v>
      </c>
      <c r="AI43" s="9">
        <v>0</v>
      </c>
      <c r="AJ43" s="9">
        <v>0</v>
      </c>
      <c r="AK43" s="9">
        <v>0</v>
      </c>
      <c r="AL43" s="9">
        <v>0</v>
      </c>
      <c r="AM43" s="9">
        <v>0</v>
      </c>
      <c r="AN43" s="9">
        <v>0</v>
      </c>
      <c r="AO43" s="9">
        <v>0</v>
      </c>
      <c r="AP43" s="3">
        <v>0</v>
      </c>
      <c r="AQ43" s="9">
        <v>0</v>
      </c>
      <c r="AR43" s="9">
        <v>0</v>
      </c>
      <c r="AS43" s="9">
        <v>0</v>
      </c>
      <c r="AT43" s="9">
        <v>0</v>
      </c>
      <c r="AU43" s="3">
        <v>0</v>
      </c>
      <c r="AV43" s="9">
        <v>0</v>
      </c>
      <c r="AW43" s="9">
        <v>0</v>
      </c>
    </row>
    <row r="44" spans="1:49">
      <c r="A44" s="3">
        <v>42</v>
      </c>
      <c r="B44" s="3" t="s">
        <v>132</v>
      </c>
      <c r="C44" t="s">
        <v>133</v>
      </c>
      <c r="D44" s="3" t="s">
        <v>64</v>
      </c>
      <c r="E44" s="4">
        <v>1.0</v>
      </c>
      <c r="F44" s="5">
        <v>4699.996</v>
      </c>
      <c r="G44" s="9">
        <v>0</v>
      </c>
      <c r="H44" s="9">
        <v>0</v>
      </c>
      <c r="I44" s="9">
        <v>0</v>
      </c>
      <c r="J44" s="9">
        <v>0</v>
      </c>
      <c r="K44" s="4">
        <v>2.545452</v>
      </c>
      <c r="L44" s="5">
        <v>10966.102488</v>
      </c>
      <c r="M44" s="6">
        <v>1.0</v>
      </c>
      <c r="N44" s="4">
        <v>2.0</v>
      </c>
      <c r="O44" s="4">
        <v>0.181818</v>
      </c>
      <c r="P44" s="9">
        <v>0</v>
      </c>
      <c r="Q44" s="9">
        <v>0</v>
      </c>
      <c r="R44" s="9">
        <v>0</v>
      </c>
      <c r="S44" s="9">
        <v>0</v>
      </c>
      <c r="T44" s="4">
        <v>0.333333</v>
      </c>
      <c r="U44" s="11" t="s">
        <v>56</v>
      </c>
      <c r="V44" s="5">
        <v>8419.04</v>
      </c>
      <c r="W44" s="5">
        <v>4209.52</v>
      </c>
      <c r="X44" s="5">
        <v>11084.124</v>
      </c>
      <c r="Y44" s="5">
        <v>5542.062</v>
      </c>
      <c r="Z44" s="5">
        <v>2665.084</v>
      </c>
      <c r="AA44" s="5">
        <v>1332.542</v>
      </c>
      <c r="AB44" s="10">
        <v>0.24044155406417</v>
      </c>
      <c r="AC44" s="4">
        <v>2.0</v>
      </c>
      <c r="AD44" s="9">
        <v>0</v>
      </c>
      <c r="AE44" s="9">
        <v>0</v>
      </c>
      <c r="AF44" s="9">
        <v>0</v>
      </c>
      <c r="AG44" s="3">
        <v>0</v>
      </c>
      <c r="AH44" s="9">
        <v>0</v>
      </c>
      <c r="AI44" s="9">
        <v>0</v>
      </c>
      <c r="AJ44" s="9">
        <v>0</v>
      </c>
      <c r="AK44" s="9">
        <v>0</v>
      </c>
      <c r="AL44" s="9">
        <v>0</v>
      </c>
      <c r="AM44" s="9">
        <v>0</v>
      </c>
      <c r="AN44" s="9">
        <v>0</v>
      </c>
      <c r="AO44" s="9">
        <v>0</v>
      </c>
      <c r="AP44" s="3">
        <v>0</v>
      </c>
      <c r="AQ44" s="9">
        <v>0</v>
      </c>
      <c r="AR44" s="9">
        <v>0</v>
      </c>
      <c r="AS44" s="9">
        <v>0</v>
      </c>
      <c r="AT44" s="9">
        <v>0</v>
      </c>
      <c r="AU44" s="3">
        <v>0</v>
      </c>
      <c r="AV44" s="9">
        <v>0</v>
      </c>
      <c r="AW44" s="9">
        <v>0</v>
      </c>
    </row>
    <row r="45" spans="1:49">
      <c r="A45" s="3">
        <v>43</v>
      </c>
      <c r="B45" s="3" t="s">
        <v>134</v>
      </c>
      <c r="C45" t="s">
        <v>135</v>
      </c>
      <c r="D45" s="3" t="s">
        <v>64</v>
      </c>
      <c r="E45" s="9">
        <v>0</v>
      </c>
      <c r="F45" s="9">
        <v>0</v>
      </c>
      <c r="G45" s="9">
        <v>0</v>
      </c>
      <c r="H45" s="9">
        <v>0</v>
      </c>
      <c r="I45" s="4">
        <v>1.0</v>
      </c>
      <c r="J45" s="5">
        <v>3424.101</v>
      </c>
      <c r="K45" s="4">
        <v>6.36363</v>
      </c>
      <c r="L45" s="5">
        <v>21789.711847</v>
      </c>
      <c r="M45" s="6">
        <v>1.0</v>
      </c>
      <c r="N45" s="4">
        <v>5.0</v>
      </c>
      <c r="O45" s="4">
        <v>0.454545</v>
      </c>
      <c r="P45" s="4">
        <v>1.0</v>
      </c>
      <c r="Q45" s="4">
        <v>1.0</v>
      </c>
      <c r="R45" s="9">
        <v>0</v>
      </c>
      <c r="S45" s="9">
        <v>0</v>
      </c>
      <c r="T45" s="4">
        <v>0.666666</v>
      </c>
      <c r="U45" s="11" t="s">
        <v>56</v>
      </c>
      <c r="V45" s="5">
        <v>15717.16</v>
      </c>
      <c r="W45" s="5">
        <v>3143.432</v>
      </c>
      <c r="X45" s="5">
        <v>20252.336</v>
      </c>
      <c r="Y45" s="5">
        <v>4050.4672</v>
      </c>
      <c r="Z45" s="5">
        <v>4535.176</v>
      </c>
      <c r="AA45" s="5">
        <v>907.0352</v>
      </c>
      <c r="AB45" s="10">
        <v>0.22393347611851</v>
      </c>
      <c r="AC45" s="4">
        <v>5.0</v>
      </c>
      <c r="AD45" s="9">
        <v>0</v>
      </c>
      <c r="AE45" s="9">
        <v>0</v>
      </c>
      <c r="AF45" s="9">
        <v>0</v>
      </c>
      <c r="AG45" s="3">
        <v>0</v>
      </c>
      <c r="AH45" s="9">
        <v>0</v>
      </c>
      <c r="AI45" s="9">
        <v>0</v>
      </c>
      <c r="AJ45" s="5">
        <v>3200.09</v>
      </c>
      <c r="AK45" s="5">
        <v>3200.09</v>
      </c>
      <c r="AL45" s="5">
        <v>4009.35</v>
      </c>
      <c r="AM45" s="5">
        <v>4009.35</v>
      </c>
      <c r="AN45" s="5">
        <v>809.26</v>
      </c>
      <c r="AO45" s="5">
        <v>809.26</v>
      </c>
      <c r="AP45" s="10">
        <v>0.20184319153978</v>
      </c>
      <c r="AQ45" s="4">
        <v>1.0</v>
      </c>
      <c r="AR45" s="9">
        <v>0</v>
      </c>
      <c r="AS45" s="9">
        <v>0</v>
      </c>
      <c r="AT45" s="9">
        <v>0</v>
      </c>
      <c r="AU45" s="3">
        <v>0</v>
      </c>
      <c r="AV45" s="9">
        <v>0</v>
      </c>
      <c r="AW45" s="9">
        <v>0</v>
      </c>
    </row>
    <row r="46" spans="1:49">
      <c r="A46" s="3">
        <v>44</v>
      </c>
      <c r="B46" s="3" t="s">
        <v>136</v>
      </c>
      <c r="C46" t="s">
        <v>137</v>
      </c>
      <c r="D46" s="3" t="s">
        <v>64</v>
      </c>
      <c r="E46" s="4">
        <v>70.0</v>
      </c>
      <c r="F46" s="5">
        <v>13300.0</v>
      </c>
      <c r="G46" s="9">
        <v>0</v>
      </c>
      <c r="H46" s="9">
        <v>0</v>
      </c>
      <c r="I46" s="9">
        <v>0</v>
      </c>
      <c r="J46" s="9">
        <v>0</v>
      </c>
      <c r="K46" s="4">
        <v>123.454534</v>
      </c>
      <c r="L46" s="5">
        <v>22839.08879</v>
      </c>
      <c r="M46" s="6">
        <v>1.0</v>
      </c>
      <c r="N46" s="4">
        <v>97.0</v>
      </c>
      <c r="O46" s="4">
        <v>8.818181</v>
      </c>
      <c r="P46" s="4">
        <v>35.0</v>
      </c>
      <c r="Q46" s="4">
        <v>25.0</v>
      </c>
      <c r="R46" s="9">
        <v>0</v>
      </c>
      <c r="S46" s="9">
        <v>0</v>
      </c>
      <c r="T46" s="4">
        <v>22.0</v>
      </c>
      <c r="U46" s="11" t="s">
        <v>56</v>
      </c>
      <c r="V46" s="5">
        <v>14817.284</v>
      </c>
      <c r="W46" s="5">
        <v>152.75550515464</v>
      </c>
      <c r="X46" s="5">
        <v>22532.795</v>
      </c>
      <c r="Y46" s="5">
        <v>232.2968556701</v>
      </c>
      <c r="Z46" s="5">
        <v>7715.511</v>
      </c>
      <c r="AA46" s="5">
        <v>79.541350515464</v>
      </c>
      <c r="AB46" s="8">
        <v>0.34241251473685</v>
      </c>
      <c r="AC46" s="4">
        <v>97.0</v>
      </c>
      <c r="AD46" s="9">
        <v>0</v>
      </c>
      <c r="AE46" s="9">
        <v>0</v>
      </c>
      <c r="AF46" s="9">
        <v>0</v>
      </c>
      <c r="AG46" s="3">
        <v>0</v>
      </c>
      <c r="AH46" s="9">
        <v>0</v>
      </c>
      <c r="AI46" s="9">
        <v>0</v>
      </c>
      <c r="AJ46" s="5">
        <v>5601.87</v>
      </c>
      <c r="AK46" s="5">
        <v>160.05342857143</v>
      </c>
      <c r="AL46" s="5">
        <v>8411.3</v>
      </c>
      <c r="AM46" s="5">
        <v>240.32285714286</v>
      </c>
      <c r="AN46" s="5">
        <v>2809.43</v>
      </c>
      <c r="AO46" s="5">
        <v>80.269428571429</v>
      </c>
      <c r="AP46" s="8">
        <v>0.33400663393292</v>
      </c>
      <c r="AQ46" s="4">
        <v>35.0</v>
      </c>
      <c r="AR46" s="9">
        <v>0</v>
      </c>
      <c r="AS46" s="9">
        <v>0</v>
      </c>
      <c r="AT46" s="9">
        <v>0</v>
      </c>
      <c r="AU46" s="3">
        <v>0</v>
      </c>
      <c r="AV46" s="9">
        <v>0</v>
      </c>
      <c r="AW46" s="9">
        <v>0</v>
      </c>
    </row>
    <row r="47" spans="1:49">
      <c r="A47" s="3">
        <v>45</v>
      </c>
      <c r="B47" s="3" t="s">
        <v>138</v>
      </c>
      <c r="C47" t="s">
        <v>139</v>
      </c>
      <c r="D47" s="3" t="s">
        <v>64</v>
      </c>
      <c r="E47" s="4">
        <v>1.0</v>
      </c>
      <c r="F47" s="5">
        <v>3989.934</v>
      </c>
      <c r="G47" s="9">
        <v>0</v>
      </c>
      <c r="H47" s="9">
        <v>0</v>
      </c>
      <c r="I47" s="4">
        <v>1.0</v>
      </c>
      <c r="J47" s="5">
        <v>3810.0</v>
      </c>
      <c r="K47" s="9">
        <v>0</v>
      </c>
      <c r="L47" s="9">
        <v>0</v>
      </c>
      <c r="M47" s="13">
        <v>0</v>
      </c>
      <c r="N47" s="9">
        <v>0</v>
      </c>
      <c r="O47" s="9">
        <v>0</v>
      </c>
      <c r="P47" s="4">
        <v>1.0</v>
      </c>
      <c r="Q47" s="4">
        <v>1.0</v>
      </c>
      <c r="R47" s="9">
        <v>0</v>
      </c>
      <c r="S47" s="9">
        <v>0</v>
      </c>
      <c r="T47" s="4">
        <v>0.166666</v>
      </c>
      <c r="U47" s="11" t="s">
        <v>56</v>
      </c>
      <c r="V47" s="9">
        <v>0</v>
      </c>
      <c r="W47" s="9">
        <v>0</v>
      </c>
      <c r="X47" s="9">
        <v>0</v>
      </c>
      <c r="Y47" s="9">
        <v>0</v>
      </c>
      <c r="Z47" s="9">
        <v>0</v>
      </c>
      <c r="AA47" s="9">
        <v>0</v>
      </c>
      <c r="AB47" s="3">
        <v>0</v>
      </c>
      <c r="AC47" s="9">
        <v>0</v>
      </c>
      <c r="AD47" s="9">
        <v>0</v>
      </c>
      <c r="AE47" s="9">
        <v>0</v>
      </c>
      <c r="AF47" s="9">
        <v>0</v>
      </c>
      <c r="AG47" s="3">
        <v>0</v>
      </c>
      <c r="AH47" s="9">
        <v>0</v>
      </c>
      <c r="AI47" s="9">
        <v>0</v>
      </c>
      <c r="AJ47" s="5">
        <v>3560.75</v>
      </c>
      <c r="AK47" s="5">
        <v>3560.75</v>
      </c>
      <c r="AL47" s="5">
        <v>4112.15</v>
      </c>
      <c r="AM47" s="5">
        <v>4112.15</v>
      </c>
      <c r="AN47" s="5">
        <v>551.4</v>
      </c>
      <c r="AO47" s="5">
        <v>551.4</v>
      </c>
      <c r="AP47" s="10">
        <v>0.1340904393079</v>
      </c>
      <c r="AQ47" s="4">
        <v>1.0</v>
      </c>
      <c r="AR47" s="9">
        <v>0</v>
      </c>
      <c r="AS47" s="9">
        <v>0</v>
      </c>
      <c r="AT47" s="9">
        <v>0</v>
      </c>
      <c r="AU47" s="3">
        <v>0</v>
      </c>
      <c r="AV47" s="9">
        <v>0</v>
      </c>
      <c r="AW47" s="9">
        <v>0</v>
      </c>
    </row>
    <row r="48" spans="1:49">
      <c r="A48" s="3">
        <v>46</v>
      </c>
      <c r="B48" s="3" t="s">
        <v>140</v>
      </c>
      <c r="C48" t="s">
        <v>141</v>
      </c>
      <c r="D48" s="3" t="s">
        <v>59</v>
      </c>
      <c r="E48" s="4">
        <v>2.0</v>
      </c>
      <c r="F48" s="5">
        <v>4799.998</v>
      </c>
      <c r="G48" s="9">
        <v>0</v>
      </c>
      <c r="H48" s="9">
        <v>0</v>
      </c>
      <c r="I48" s="9">
        <v>0</v>
      </c>
      <c r="J48" s="9">
        <v>0</v>
      </c>
      <c r="K48" s="4">
        <v>3.818178</v>
      </c>
      <c r="L48" s="5">
        <v>9163.623382</v>
      </c>
      <c r="M48" s="6">
        <v>1.0</v>
      </c>
      <c r="N48" s="4">
        <v>3.0</v>
      </c>
      <c r="O48" s="4">
        <v>0.272727</v>
      </c>
      <c r="P48" s="9">
        <v>0</v>
      </c>
      <c r="Q48" s="9">
        <v>0</v>
      </c>
      <c r="R48" s="9">
        <v>0</v>
      </c>
      <c r="S48" s="9">
        <v>0</v>
      </c>
      <c r="T48" s="4">
        <v>0.5</v>
      </c>
      <c r="U48" s="11" t="s">
        <v>56</v>
      </c>
      <c r="V48" s="5">
        <v>6728.97</v>
      </c>
      <c r="W48" s="5">
        <v>2242.99</v>
      </c>
      <c r="X48" s="5">
        <v>8383.179</v>
      </c>
      <c r="Y48" s="5">
        <v>2794.393</v>
      </c>
      <c r="Z48" s="5">
        <v>1654.209</v>
      </c>
      <c r="AA48" s="5">
        <v>551.403</v>
      </c>
      <c r="AB48" s="10">
        <v>0.19732478574059</v>
      </c>
      <c r="AC48" s="4">
        <v>3.0</v>
      </c>
      <c r="AD48" s="9">
        <v>0</v>
      </c>
      <c r="AE48" s="9">
        <v>0</v>
      </c>
      <c r="AF48" s="9">
        <v>0</v>
      </c>
      <c r="AG48" s="3">
        <v>0</v>
      </c>
      <c r="AH48" s="9">
        <v>0</v>
      </c>
      <c r="AI48" s="9">
        <v>0</v>
      </c>
      <c r="AJ48" s="9">
        <v>0</v>
      </c>
      <c r="AK48" s="9">
        <v>0</v>
      </c>
      <c r="AL48" s="9">
        <v>0</v>
      </c>
      <c r="AM48" s="9">
        <v>0</v>
      </c>
      <c r="AN48" s="9">
        <v>0</v>
      </c>
      <c r="AO48" s="9">
        <v>0</v>
      </c>
      <c r="AP48" s="3">
        <v>0</v>
      </c>
      <c r="AQ48" s="9">
        <v>0</v>
      </c>
      <c r="AR48" s="9">
        <v>0</v>
      </c>
      <c r="AS48" s="9">
        <v>0</v>
      </c>
      <c r="AT48" s="9">
        <v>0</v>
      </c>
      <c r="AU48" s="3">
        <v>0</v>
      </c>
      <c r="AV48" s="9">
        <v>0</v>
      </c>
      <c r="AW48" s="9">
        <v>0</v>
      </c>
    </row>
    <row r="49" spans="1:49">
      <c r="A49" s="3">
        <v>47</v>
      </c>
      <c r="B49" s="3" t="s">
        <v>142</v>
      </c>
      <c r="C49" t="s">
        <v>143</v>
      </c>
      <c r="D49" s="3" t="s">
        <v>59</v>
      </c>
      <c r="E49" s="4">
        <v>3.0</v>
      </c>
      <c r="F49" s="5">
        <v>639.0</v>
      </c>
      <c r="G49" s="9">
        <v>0</v>
      </c>
      <c r="H49" s="9">
        <v>0</v>
      </c>
      <c r="I49" s="9">
        <v>0</v>
      </c>
      <c r="J49" s="9">
        <v>0</v>
      </c>
      <c r="K49" s="9">
        <v>0</v>
      </c>
      <c r="L49" s="9">
        <v>0</v>
      </c>
      <c r="M49" s="13">
        <v>0</v>
      </c>
      <c r="N49" s="9">
        <v>0</v>
      </c>
      <c r="O49" s="9">
        <v>0</v>
      </c>
      <c r="P49" s="9">
        <v>0</v>
      </c>
      <c r="Q49" s="9">
        <v>0</v>
      </c>
      <c r="R49" s="9">
        <v>0</v>
      </c>
      <c r="S49" s="9">
        <v>0</v>
      </c>
      <c r="T49" s="9">
        <v>0</v>
      </c>
      <c r="U49" s="11" t="s">
        <v>56</v>
      </c>
      <c r="V49" s="9">
        <v>0</v>
      </c>
      <c r="W49" s="9">
        <v>0</v>
      </c>
      <c r="X49" s="9">
        <v>0</v>
      </c>
      <c r="Y49" s="9">
        <v>0</v>
      </c>
      <c r="Z49" s="9">
        <v>0</v>
      </c>
      <c r="AA49" s="9">
        <v>0</v>
      </c>
      <c r="AB49" s="3">
        <v>0</v>
      </c>
      <c r="AC49" s="9">
        <v>0</v>
      </c>
      <c r="AD49" s="9">
        <v>0</v>
      </c>
      <c r="AE49" s="9">
        <v>0</v>
      </c>
      <c r="AF49" s="9">
        <v>0</v>
      </c>
      <c r="AG49" s="3">
        <v>0</v>
      </c>
      <c r="AH49" s="9">
        <v>0</v>
      </c>
      <c r="AI49" s="9">
        <v>0</v>
      </c>
      <c r="AJ49" s="9">
        <v>0</v>
      </c>
      <c r="AK49" s="9">
        <v>0</v>
      </c>
      <c r="AL49" s="9">
        <v>0</v>
      </c>
      <c r="AM49" s="9">
        <v>0</v>
      </c>
      <c r="AN49" s="9">
        <v>0</v>
      </c>
      <c r="AO49" s="9">
        <v>0</v>
      </c>
      <c r="AP49" s="3">
        <v>0</v>
      </c>
      <c r="AQ49" s="9">
        <v>0</v>
      </c>
      <c r="AR49" s="9">
        <v>0</v>
      </c>
      <c r="AS49" s="9">
        <v>0</v>
      </c>
      <c r="AT49" s="9">
        <v>0</v>
      </c>
      <c r="AU49" s="3">
        <v>0</v>
      </c>
      <c r="AV49" s="9">
        <v>0</v>
      </c>
      <c r="AW49" s="9">
        <v>0</v>
      </c>
    </row>
    <row r="50" spans="1:49">
      <c r="A50" s="3">
        <v>48</v>
      </c>
      <c r="B50" s="3" t="s">
        <v>144</v>
      </c>
      <c r="C50" t="s">
        <v>145</v>
      </c>
      <c r="D50" s="3" t="s">
        <v>45</v>
      </c>
      <c r="E50" s="4">
        <v>4.0</v>
      </c>
      <c r="F50" s="5">
        <v>4280.0</v>
      </c>
      <c r="G50" s="9">
        <v>0</v>
      </c>
      <c r="H50" s="9">
        <v>0</v>
      </c>
      <c r="I50" s="9">
        <v>0</v>
      </c>
      <c r="J50" s="9">
        <v>0</v>
      </c>
      <c r="K50" s="9">
        <v>0</v>
      </c>
      <c r="L50" s="9">
        <v>0</v>
      </c>
      <c r="M50" s="13">
        <v>0</v>
      </c>
      <c r="N50" s="9">
        <v>0</v>
      </c>
      <c r="O50" s="9">
        <v>0</v>
      </c>
      <c r="P50" s="9">
        <v>0</v>
      </c>
      <c r="Q50" s="9">
        <v>0</v>
      </c>
      <c r="R50" s="9">
        <v>0</v>
      </c>
      <c r="S50" s="9">
        <v>0</v>
      </c>
      <c r="T50" s="9">
        <v>0</v>
      </c>
      <c r="U50" s="11" t="s">
        <v>56</v>
      </c>
      <c r="V50" s="9">
        <v>0</v>
      </c>
      <c r="W50" s="9">
        <v>0</v>
      </c>
      <c r="X50" s="9">
        <v>0</v>
      </c>
      <c r="Y50" s="9">
        <v>0</v>
      </c>
      <c r="Z50" s="9">
        <v>0</v>
      </c>
      <c r="AA50" s="9">
        <v>0</v>
      </c>
      <c r="AB50" s="3">
        <v>0</v>
      </c>
      <c r="AC50" s="9">
        <v>0</v>
      </c>
      <c r="AD50" s="9">
        <v>0</v>
      </c>
      <c r="AE50" s="9">
        <v>0</v>
      </c>
      <c r="AF50" s="9">
        <v>0</v>
      </c>
      <c r="AG50" s="3">
        <v>0</v>
      </c>
      <c r="AH50" s="9">
        <v>0</v>
      </c>
      <c r="AI50" s="9">
        <v>0</v>
      </c>
      <c r="AJ50" s="9">
        <v>0</v>
      </c>
      <c r="AK50" s="9">
        <v>0</v>
      </c>
      <c r="AL50" s="9">
        <v>0</v>
      </c>
      <c r="AM50" s="9">
        <v>0</v>
      </c>
      <c r="AN50" s="9">
        <v>0</v>
      </c>
      <c r="AO50" s="9">
        <v>0</v>
      </c>
      <c r="AP50" s="3">
        <v>0</v>
      </c>
      <c r="AQ50" s="9">
        <v>0</v>
      </c>
      <c r="AR50" s="9">
        <v>0</v>
      </c>
      <c r="AS50" s="9">
        <v>0</v>
      </c>
      <c r="AT50" s="9">
        <v>0</v>
      </c>
      <c r="AU50" s="3">
        <v>0</v>
      </c>
      <c r="AV50" s="9">
        <v>0</v>
      </c>
      <c r="AW50" s="9">
        <v>0</v>
      </c>
    </row>
    <row r="51" spans="1:49">
      <c r="A51" s="3">
        <v>49</v>
      </c>
      <c r="B51" s="3" t="s">
        <v>146</v>
      </c>
      <c r="C51" t="s">
        <v>147</v>
      </c>
      <c r="D51" s="3" t="s">
        <v>64</v>
      </c>
      <c r="E51" s="4">
        <v>2.0</v>
      </c>
      <c r="F51" s="5">
        <v>1117.08</v>
      </c>
      <c r="G51" s="9">
        <v>0</v>
      </c>
      <c r="H51" s="9">
        <v>0</v>
      </c>
      <c r="I51" s="9">
        <v>0</v>
      </c>
      <c r="J51" s="9">
        <v>0</v>
      </c>
      <c r="K51" s="9">
        <v>0</v>
      </c>
      <c r="L51" s="9">
        <v>0</v>
      </c>
      <c r="M51" s="13">
        <v>0</v>
      </c>
      <c r="N51" s="9">
        <v>0</v>
      </c>
      <c r="O51" s="9">
        <v>0</v>
      </c>
      <c r="P51" s="9">
        <v>0</v>
      </c>
      <c r="Q51" s="9">
        <v>0</v>
      </c>
      <c r="R51" s="9">
        <v>0</v>
      </c>
      <c r="S51" s="9">
        <v>0</v>
      </c>
      <c r="T51" s="9">
        <v>0</v>
      </c>
      <c r="U51" s="11" t="s">
        <v>56</v>
      </c>
      <c r="V51" s="9">
        <v>0</v>
      </c>
      <c r="W51" s="9">
        <v>0</v>
      </c>
      <c r="X51" s="9">
        <v>0</v>
      </c>
      <c r="Y51" s="9">
        <v>0</v>
      </c>
      <c r="Z51" s="9">
        <v>0</v>
      </c>
      <c r="AA51" s="9">
        <v>0</v>
      </c>
      <c r="AB51" s="3">
        <v>0</v>
      </c>
      <c r="AC51" s="9">
        <v>0</v>
      </c>
      <c r="AD51" s="9">
        <v>0</v>
      </c>
      <c r="AE51" s="9">
        <v>0</v>
      </c>
      <c r="AF51" s="9">
        <v>0</v>
      </c>
      <c r="AG51" s="3">
        <v>0</v>
      </c>
      <c r="AH51" s="9">
        <v>0</v>
      </c>
      <c r="AI51" s="9">
        <v>0</v>
      </c>
      <c r="AJ51" s="9">
        <v>0</v>
      </c>
      <c r="AK51" s="9">
        <v>0</v>
      </c>
      <c r="AL51" s="9">
        <v>0</v>
      </c>
      <c r="AM51" s="9">
        <v>0</v>
      </c>
      <c r="AN51" s="9">
        <v>0</v>
      </c>
      <c r="AO51" s="9">
        <v>0</v>
      </c>
      <c r="AP51" s="3">
        <v>0</v>
      </c>
      <c r="AQ51" s="9">
        <v>0</v>
      </c>
      <c r="AR51" s="9">
        <v>0</v>
      </c>
      <c r="AS51" s="9">
        <v>0</v>
      </c>
      <c r="AT51" s="9">
        <v>0</v>
      </c>
      <c r="AU51" s="3">
        <v>0</v>
      </c>
      <c r="AV51" s="9">
        <v>0</v>
      </c>
      <c r="AW51" s="9">
        <v>0</v>
      </c>
    </row>
    <row r="52" spans="1:49">
      <c r="A52" s="3">
        <v>50</v>
      </c>
      <c r="B52" s="3" t="s">
        <v>148</v>
      </c>
      <c r="C52" t="s">
        <v>149</v>
      </c>
      <c r="D52" s="3" t="s">
        <v>59</v>
      </c>
      <c r="E52" s="9">
        <v>0</v>
      </c>
      <c r="F52" s="9">
        <v>0</v>
      </c>
      <c r="G52" s="9">
        <v>0</v>
      </c>
      <c r="H52" s="9">
        <v>0</v>
      </c>
      <c r="I52" s="4">
        <v>2.0</v>
      </c>
      <c r="J52" s="9">
        <v>0</v>
      </c>
      <c r="K52" s="9">
        <v>0</v>
      </c>
      <c r="L52" s="9">
        <v>0</v>
      </c>
      <c r="M52" s="13">
        <v>0</v>
      </c>
      <c r="N52" s="9">
        <v>0</v>
      </c>
      <c r="O52" s="9">
        <v>0</v>
      </c>
      <c r="P52" s="9">
        <v>0</v>
      </c>
      <c r="Q52" s="9">
        <v>0</v>
      </c>
      <c r="R52" s="9">
        <v>0</v>
      </c>
      <c r="S52" s="9">
        <v>0</v>
      </c>
      <c r="T52" s="9">
        <v>0</v>
      </c>
      <c r="U52" s="11" t="s">
        <v>56</v>
      </c>
      <c r="V52" s="9">
        <v>0</v>
      </c>
      <c r="W52" s="9">
        <v>0</v>
      </c>
      <c r="X52" s="9">
        <v>0</v>
      </c>
      <c r="Y52" s="9">
        <v>0</v>
      </c>
      <c r="Z52" s="9">
        <v>0</v>
      </c>
      <c r="AA52" s="9">
        <v>0</v>
      </c>
      <c r="AB52" s="3">
        <v>0</v>
      </c>
      <c r="AC52" s="9">
        <v>0</v>
      </c>
      <c r="AD52" s="9">
        <v>0</v>
      </c>
      <c r="AE52" s="9">
        <v>0</v>
      </c>
      <c r="AF52" s="9">
        <v>0</v>
      </c>
      <c r="AG52" s="3">
        <v>0</v>
      </c>
      <c r="AH52" s="9">
        <v>0</v>
      </c>
      <c r="AI52" s="9">
        <v>0</v>
      </c>
      <c r="AJ52" s="9">
        <v>0</v>
      </c>
      <c r="AK52" s="9">
        <v>0</v>
      </c>
      <c r="AL52" s="9">
        <v>0</v>
      </c>
      <c r="AM52" s="9">
        <v>0</v>
      </c>
      <c r="AN52" s="9">
        <v>0</v>
      </c>
      <c r="AO52" s="9">
        <v>0</v>
      </c>
      <c r="AP52" s="3">
        <v>0</v>
      </c>
      <c r="AQ52" s="9">
        <v>0</v>
      </c>
      <c r="AR52" s="9">
        <v>0</v>
      </c>
      <c r="AS52" s="9">
        <v>0</v>
      </c>
      <c r="AT52" s="9">
        <v>0</v>
      </c>
      <c r="AU52" s="3">
        <v>0</v>
      </c>
      <c r="AV52" s="9">
        <v>0</v>
      </c>
      <c r="AW52" s="9">
        <v>0</v>
      </c>
    </row>
    <row r="53" spans="1:49">
      <c r="A53" s="3">
        <v>51</v>
      </c>
      <c r="B53" s="3" t="s">
        <v>150</v>
      </c>
      <c r="C53" t="s">
        <v>151</v>
      </c>
      <c r="D53" s="3" t="s">
        <v>59</v>
      </c>
      <c r="E53" s="4">
        <v>2.0</v>
      </c>
      <c r="F53" s="5">
        <v>2568.0</v>
      </c>
      <c r="G53" s="9">
        <v>0</v>
      </c>
      <c r="H53" s="9">
        <v>0</v>
      </c>
      <c r="I53" s="9">
        <v>0</v>
      </c>
      <c r="J53" s="9">
        <v>0</v>
      </c>
      <c r="K53" s="9">
        <v>0</v>
      </c>
      <c r="L53" s="9">
        <v>0</v>
      </c>
      <c r="M53" s="13">
        <v>0</v>
      </c>
      <c r="N53" s="9">
        <v>0</v>
      </c>
      <c r="O53" s="9">
        <v>0</v>
      </c>
      <c r="P53" s="9">
        <v>0</v>
      </c>
      <c r="Q53" s="9">
        <v>0</v>
      </c>
      <c r="R53" s="9">
        <v>0</v>
      </c>
      <c r="S53" s="9">
        <v>0</v>
      </c>
      <c r="T53" s="9">
        <v>0</v>
      </c>
      <c r="U53" s="11" t="s">
        <v>56</v>
      </c>
      <c r="V53" s="9">
        <v>0</v>
      </c>
      <c r="W53" s="9">
        <v>0</v>
      </c>
      <c r="X53" s="9">
        <v>0</v>
      </c>
      <c r="Y53" s="9">
        <v>0</v>
      </c>
      <c r="Z53" s="9">
        <v>0</v>
      </c>
      <c r="AA53" s="9">
        <v>0</v>
      </c>
      <c r="AB53" s="3">
        <v>0</v>
      </c>
      <c r="AC53" s="9">
        <v>0</v>
      </c>
      <c r="AD53" s="9">
        <v>0</v>
      </c>
      <c r="AE53" s="9">
        <v>0</v>
      </c>
      <c r="AF53" s="9">
        <v>0</v>
      </c>
      <c r="AG53" s="3">
        <v>0</v>
      </c>
      <c r="AH53" s="9">
        <v>0</v>
      </c>
      <c r="AI53" s="9">
        <v>0</v>
      </c>
      <c r="AJ53" s="9">
        <v>0</v>
      </c>
      <c r="AK53" s="9">
        <v>0</v>
      </c>
      <c r="AL53" s="9">
        <v>0</v>
      </c>
      <c r="AM53" s="9">
        <v>0</v>
      </c>
      <c r="AN53" s="9">
        <v>0</v>
      </c>
      <c r="AO53" s="9">
        <v>0</v>
      </c>
      <c r="AP53" s="3">
        <v>0</v>
      </c>
      <c r="AQ53" s="9">
        <v>0</v>
      </c>
      <c r="AR53" s="9">
        <v>0</v>
      </c>
      <c r="AS53" s="9">
        <v>0</v>
      </c>
      <c r="AT53" s="9">
        <v>0</v>
      </c>
      <c r="AU53" s="3">
        <v>0</v>
      </c>
      <c r="AV53" s="9">
        <v>0</v>
      </c>
      <c r="AW53" s="9">
        <v>0</v>
      </c>
    </row>
    <row r="54" spans="1:49">
      <c r="A54" s="3">
        <v>52</v>
      </c>
      <c r="B54" s="3" t="s">
        <v>152</v>
      </c>
      <c r="C54" t="s">
        <v>153</v>
      </c>
      <c r="D54" s="3" t="s">
        <v>51</v>
      </c>
      <c r="E54" s="4">
        <v>2000.0</v>
      </c>
      <c r="F54" s="5">
        <v>128400.0</v>
      </c>
      <c r="G54" s="9">
        <v>0</v>
      </c>
      <c r="H54" s="9">
        <v>0</v>
      </c>
      <c r="I54" s="9">
        <v>0</v>
      </c>
      <c r="J54" s="9">
        <v>0</v>
      </c>
      <c r="K54" s="4">
        <v>28127.272726</v>
      </c>
      <c r="L54" s="5">
        <v>1592678.690837</v>
      </c>
      <c r="M54" s="6">
        <v>1.0</v>
      </c>
      <c r="N54" s="4">
        <v>23600.0</v>
      </c>
      <c r="O54" s="4">
        <v>2009.090909</v>
      </c>
      <c r="P54" s="4">
        <v>3200.0</v>
      </c>
      <c r="Q54" s="4">
        <v>1900.0</v>
      </c>
      <c r="R54" s="4">
        <v>2100.0</v>
      </c>
      <c r="S54" s="5">
        <v>118910.4</v>
      </c>
      <c r="T54" s="4">
        <v>3983.333333</v>
      </c>
      <c r="U54" s="7">
        <v>0.52719665276378</v>
      </c>
      <c r="V54" s="5">
        <v>1248813.4</v>
      </c>
      <c r="W54" s="5">
        <v>52.915822033898</v>
      </c>
      <c r="X54" s="5">
        <v>1783120.4</v>
      </c>
      <c r="Y54" s="5">
        <v>75.555949152542</v>
      </c>
      <c r="Z54" s="5">
        <v>534307.0</v>
      </c>
      <c r="AA54" s="5">
        <v>22.640127118644</v>
      </c>
      <c r="AB54" s="8">
        <v>0.29964718030258</v>
      </c>
      <c r="AC54" s="4">
        <v>23600.0</v>
      </c>
      <c r="AD54" s="9">
        <v>0</v>
      </c>
      <c r="AE54" s="9">
        <v>0</v>
      </c>
      <c r="AF54" s="9">
        <v>0</v>
      </c>
      <c r="AG54" s="3">
        <v>0</v>
      </c>
      <c r="AH54" s="9">
        <v>0</v>
      </c>
      <c r="AI54" s="9">
        <v>0</v>
      </c>
      <c r="AJ54" s="5">
        <v>169344.0</v>
      </c>
      <c r="AK54" s="5">
        <v>52.92</v>
      </c>
      <c r="AL54" s="5">
        <v>241779.2</v>
      </c>
      <c r="AM54" s="5">
        <v>75.556</v>
      </c>
      <c r="AN54" s="5">
        <v>72435.2</v>
      </c>
      <c r="AO54" s="5">
        <v>22.636</v>
      </c>
      <c r="AP54" s="8">
        <v>0.29959235533909</v>
      </c>
      <c r="AQ54" s="4">
        <v>3200.0</v>
      </c>
      <c r="AR54" s="9">
        <v>0</v>
      </c>
      <c r="AS54" s="9">
        <v>0</v>
      </c>
      <c r="AT54" s="9">
        <v>0</v>
      </c>
      <c r="AU54" s="3">
        <v>0</v>
      </c>
      <c r="AV54" s="9">
        <v>0</v>
      </c>
      <c r="AW54" s="9">
        <v>0</v>
      </c>
    </row>
    <row r="55" spans="1:49">
      <c r="A55" s="3">
        <v>53</v>
      </c>
      <c r="B55" s="3" t="s">
        <v>154</v>
      </c>
      <c r="C55" t="s">
        <v>155</v>
      </c>
      <c r="D55" s="3" t="s">
        <v>51</v>
      </c>
      <c r="E55" s="4">
        <v>3100.0</v>
      </c>
      <c r="F55" s="5">
        <v>169167.0</v>
      </c>
      <c r="G55" s="9">
        <v>0</v>
      </c>
      <c r="H55" s="9">
        <v>0</v>
      </c>
      <c r="I55" s="9">
        <v>0</v>
      </c>
      <c r="J55" s="9">
        <v>0</v>
      </c>
      <c r="K55" s="4">
        <v>80436.36363</v>
      </c>
      <c r="L55" s="5">
        <v>4301656.290569</v>
      </c>
      <c r="M55" s="6">
        <v>1.0</v>
      </c>
      <c r="N55" s="4">
        <v>66800.0</v>
      </c>
      <c r="O55" s="4">
        <v>5745.454545</v>
      </c>
      <c r="P55" s="4">
        <v>7300.0</v>
      </c>
      <c r="Q55" s="4">
        <v>5000.0</v>
      </c>
      <c r="R55" s="4">
        <v>4900.0</v>
      </c>
      <c r="S55" s="5">
        <v>262047.1</v>
      </c>
      <c r="T55" s="4">
        <v>11166.666666</v>
      </c>
      <c r="U55" s="7">
        <v>0.43880597017545</v>
      </c>
      <c r="V55" s="5">
        <v>3338604.5</v>
      </c>
      <c r="W55" s="5">
        <v>49.979109281437</v>
      </c>
      <c r="X55" s="5">
        <v>4824495.3</v>
      </c>
      <c r="Y55" s="5">
        <v>72.222983532934</v>
      </c>
      <c r="Z55" s="5">
        <v>1485890.8</v>
      </c>
      <c r="AA55" s="5">
        <v>22.243874251497</v>
      </c>
      <c r="AB55" s="8">
        <v>0.3079888584408</v>
      </c>
      <c r="AC55" s="4">
        <v>66800.0</v>
      </c>
      <c r="AD55" s="9">
        <v>0</v>
      </c>
      <c r="AE55" s="9">
        <v>0</v>
      </c>
      <c r="AF55" s="9">
        <v>0</v>
      </c>
      <c r="AG55" s="3">
        <v>0</v>
      </c>
      <c r="AH55" s="9">
        <v>0</v>
      </c>
      <c r="AI55" s="9">
        <v>0</v>
      </c>
      <c r="AJ55" s="5">
        <v>364854.0</v>
      </c>
      <c r="AK55" s="5">
        <v>49.98</v>
      </c>
      <c r="AL55" s="5">
        <v>527227.9</v>
      </c>
      <c r="AM55" s="5">
        <v>72.223</v>
      </c>
      <c r="AN55" s="5">
        <v>162373.9</v>
      </c>
      <c r="AO55" s="5">
        <v>22.243</v>
      </c>
      <c r="AP55" s="8">
        <v>0.30797668332803</v>
      </c>
      <c r="AQ55" s="4">
        <v>7300.0</v>
      </c>
      <c r="AR55" s="9">
        <v>0</v>
      </c>
      <c r="AS55" s="9">
        <v>0</v>
      </c>
      <c r="AT55" s="9">
        <v>0</v>
      </c>
      <c r="AU55" s="3">
        <v>0</v>
      </c>
      <c r="AV55" s="9">
        <v>0</v>
      </c>
      <c r="AW55" s="9">
        <v>0</v>
      </c>
    </row>
    <row r="56" spans="1:49">
      <c r="A56" s="3">
        <v>54</v>
      </c>
      <c r="B56" s="3" t="s">
        <v>156</v>
      </c>
      <c r="C56" t="s">
        <v>157</v>
      </c>
      <c r="D56" s="3" t="s">
        <v>51</v>
      </c>
      <c r="E56" s="4">
        <v>700.0</v>
      </c>
      <c r="F56" s="5">
        <v>44940.0</v>
      </c>
      <c r="G56" s="9">
        <v>0</v>
      </c>
      <c r="H56" s="9">
        <v>0</v>
      </c>
      <c r="I56" s="9">
        <v>0</v>
      </c>
      <c r="J56" s="9">
        <v>0</v>
      </c>
      <c r="K56" s="4">
        <v>49534.545452</v>
      </c>
      <c r="L56" s="5">
        <v>2856805.839853</v>
      </c>
      <c r="M56" s="6">
        <v>1.0</v>
      </c>
      <c r="N56" s="4">
        <v>41020.0</v>
      </c>
      <c r="O56" s="4">
        <v>3538.181818</v>
      </c>
      <c r="P56" s="4">
        <v>4200.0</v>
      </c>
      <c r="Q56" s="4">
        <v>2200.0</v>
      </c>
      <c r="R56" s="4">
        <v>4000.0</v>
      </c>
      <c r="S56" s="5">
        <v>230692.0</v>
      </c>
      <c r="T56" s="4">
        <v>6753.333333</v>
      </c>
      <c r="U56" s="7">
        <v>0.59230009874592</v>
      </c>
      <c r="V56" s="5">
        <v>2210690.6</v>
      </c>
      <c r="W56" s="5">
        <v>53.892993661628</v>
      </c>
      <c r="X56" s="5">
        <v>3640836.8</v>
      </c>
      <c r="Y56" s="5">
        <v>88.757601170161</v>
      </c>
      <c r="Z56" s="5">
        <v>1430146.2</v>
      </c>
      <c r="AA56" s="5">
        <v>34.864607508532</v>
      </c>
      <c r="AB56" s="8">
        <v>0.39280700524671</v>
      </c>
      <c r="AC56" s="4">
        <v>41020.0</v>
      </c>
      <c r="AD56" s="9">
        <v>0</v>
      </c>
      <c r="AE56" s="9">
        <v>0</v>
      </c>
      <c r="AF56" s="9">
        <v>0</v>
      </c>
      <c r="AG56" s="3">
        <v>0</v>
      </c>
      <c r="AH56" s="9">
        <v>0</v>
      </c>
      <c r="AI56" s="9">
        <v>0</v>
      </c>
      <c r="AJ56" s="5">
        <v>226380.0</v>
      </c>
      <c r="AK56" s="5">
        <v>53.9</v>
      </c>
      <c r="AL56" s="5">
        <v>373831.5</v>
      </c>
      <c r="AM56" s="5">
        <v>89.0075</v>
      </c>
      <c r="AN56" s="5">
        <v>147451.5</v>
      </c>
      <c r="AO56" s="5">
        <v>35.1075</v>
      </c>
      <c r="AP56" s="8">
        <v>0.39443305339438</v>
      </c>
      <c r="AQ56" s="4">
        <v>4200.0</v>
      </c>
      <c r="AR56" s="9">
        <v>0</v>
      </c>
      <c r="AS56" s="9">
        <v>0</v>
      </c>
      <c r="AT56" s="9">
        <v>0</v>
      </c>
      <c r="AU56" s="3">
        <v>0</v>
      </c>
      <c r="AV56" s="9">
        <v>0</v>
      </c>
      <c r="AW56" s="9">
        <v>0</v>
      </c>
    </row>
    <row r="57" spans="1:49">
      <c r="A57" s="3">
        <v>55</v>
      </c>
      <c r="B57" s="3" t="s">
        <v>158</v>
      </c>
      <c r="C57" t="s">
        <v>159</v>
      </c>
      <c r="D57" s="3" t="s">
        <v>48</v>
      </c>
      <c r="E57" s="4">
        <v>40.0</v>
      </c>
      <c r="F57" s="5">
        <v>5992.0</v>
      </c>
      <c r="G57" s="9">
        <v>0</v>
      </c>
      <c r="H57" s="9">
        <v>0</v>
      </c>
      <c r="I57" s="9">
        <v>0</v>
      </c>
      <c r="J57" s="9">
        <v>0</v>
      </c>
      <c r="K57" s="4">
        <v>12.72726</v>
      </c>
      <c r="L57" s="5">
        <v>1906.543548</v>
      </c>
      <c r="M57" s="6">
        <v>1.0</v>
      </c>
      <c r="N57" s="4">
        <v>10.0</v>
      </c>
      <c r="O57" s="4">
        <v>0.90909</v>
      </c>
      <c r="P57" s="4">
        <v>6.0</v>
      </c>
      <c r="Q57" s="4">
        <v>6.0</v>
      </c>
      <c r="R57" s="9">
        <v>0</v>
      </c>
      <c r="S57" s="9">
        <v>0</v>
      </c>
      <c r="T57" s="4">
        <v>2.666666</v>
      </c>
      <c r="U57" s="11" t="s">
        <v>56</v>
      </c>
      <c r="V57" s="5">
        <v>1400.0</v>
      </c>
      <c r="W57" s="5">
        <v>140.0</v>
      </c>
      <c r="X57" s="5">
        <v>1635.517</v>
      </c>
      <c r="Y57" s="5">
        <v>163.5517</v>
      </c>
      <c r="Z57" s="5">
        <v>235.517</v>
      </c>
      <c r="AA57" s="5">
        <v>23.5517</v>
      </c>
      <c r="AB57" s="10">
        <v>0.14400156036287</v>
      </c>
      <c r="AC57" s="4">
        <v>10.0</v>
      </c>
      <c r="AD57" s="9">
        <v>0</v>
      </c>
      <c r="AE57" s="9">
        <v>0</v>
      </c>
      <c r="AF57" s="9">
        <v>0</v>
      </c>
      <c r="AG57" s="3">
        <v>0</v>
      </c>
      <c r="AH57" s="9">
        <v>0</v>
      </c>
      <c r="AI57" s="9">
        <v>0</v>
      </c>
      <c r="AJ57" s="5">
        <v>840.0</v>
      </c>
      <c r="AK57" s="5">
        <v>140.0</v>
      </c>
      <c r="AL57" s="5">
        <v>953.274</v>
      </c>
      <c r="AM57" s="5">
        <v>158.879</v>
      </c>
      <c r="AN57" s="5">
        <v>113.274</v>
      </c>
      <c r="AO57" s="5">
        <v>18.879</v>
      </c>
      <c r="AP57" s="10">
        <v>0.11882627660043</v>
      </c>
      <c r="AQ57" s="4">
        <v>6.0</v>
      </c>
      <c r="AR57" s="9">
        <v>0</v>
      </c>
      <c r="AS57" s="9">
        <v>0</v>
      </c>
      <c r="AT57" s="9">
        <v>0</v>
      </c>
      <c r="AU57" s="3">
        <v>0</v>
      </c>
      <c r="AV57" s="9">
        <v>0</v>
      </c>
      <c r="AW57" s="9">
        <v>0</v>
      </c>
    </row>
    <row r="58" spans="1:49">
      <c r="A58" s="3">
        <v>56</v>
      </c>
      <c r="B58" s="3" t="s">
        <v>160</v>
      </c>
      <c r="C58" t="s">
        <v>161</v>
      </c>
      <c r="D58" s="3" t="s">
        <v>48</v>
      </c>
      <c r="E58" s="4">
        <v>4.0</v>
      </c>
      <c r="F58" s="5">
        <v>1498.0</v>
      </c>
      <c r="G58" s="9">
        <v>0</v>
      </c>
      <c r="H58" s="9">
        <v>0</v>
      </c>
      <c r="I58" s="9">
        <v>0</v>
      </c>
      <c r="J58" s="9">
        <v>0</v>
      </c>
      <c r="K58" s="9">
        <v>0</v>
      </c>
      <c r="L58" s="9">
        <v>0</v>
      </c>
      <c r="M58" s="13">
        <v>0</v>
      </c>
      <c r="N58" s="9">
        <v>0</v>
      </c>
      <c r="O58" s="9">
        <v>0</v>
      </c>
      <c r="P58" s="9">
        <v>0</v>
      </c>
      <c r="Q58" s="9">
        <v>0</v>
      </c>
      <c r="R58" s="9">
        <v>0</v>
      </c>
      <c r="S58" s="9">
        <v>0</v>
      </c>
      <c r="T58" s="9">
        <v>0</v>
      </c>
      <c r="U58" s="11" t="s">
        <v>56</v>
      </c>
      <c r="V58" s="9">
        <v>0</v>
      </c>
      <c r="W58" s="9">
        <v>0</v>
      </c>
      <c r="X58" s="9">
        <v>0</v>
      </c>
      <c r="Y58" s="9">
        <v>0</v>
      </c>
      <c r="Z58" s="9">
        <v>0</v>
      </c>
      <c r="AA58" s="9">
        <v>0</v>
      </c>
      <c r="AB58" s="3">
        <v>0</v>
      </c>
      <c r="AC58" s="9">
        <v>0</v>
      </c>
      <c r="AD58" s="9">
        <v>0</v>
      </c>
      <c r="AE58" s="9">
        <v>0</v>
      </c>
      <c r="AF58" s="9">
        <v>0</v>
      </c>
      <c r="AG58" s="3">
        <v>0</v>
      </c>
      <c r="AH58" s="9">
        <v>0</v>
      </c>
      <c r="AI58" s="9">
        <v>0</v>
      </c>
      <c r="AJ58" s="9">
        <v>0</v>
      </c>
      <c r="AK58" s="9">
        <v>0</v>
      </c>
      <c r="AL58" s="9">
        <v>0</v>
      </c>
      <c r="AM58" s="9">
        <v>0</v>
      </c>
      <c r="AN58" s="9">
        <v>0</v>
      </c>
      <c r="AO58" s="9">
        <v>0</v>
      </c>
      <c r="AP58" s="3">
        <v>0</v>
      </c>
      <c r="AQ58" s="9">
        <v>0</v>
      </c>
      <c r="AR58" s="9">
        <v>0</v>
      </c>
      <c r="AS58" s="9">
        <v>0</v>
      </c>
      <c r="AT58" s="9">
        <v>0</v>
      </c>
      <c r="AU58" s="3">
        <v>0</v>
      </c>
      <c r="AV58" s="9">
        <v>0</v>
      </c>
      <c r="AW58" s="9">
        <v>0</v>
      </c>
    </row>
    <row r="59" spans="1:49">
      <c r="A59" s="3">
        <v>57</v>
      </c>
      <c r="B59" s="3" t="s">
        <v>162</v>
      </c>
      <c r="C59" t="s">
        <v>163</v>
      </c>
      <c r="D59" s="3" t="s">
        <v>59</v>
      </c>
      <c r="E59" s="4">
        <v>24.0</v>
      </c>
      <c r="F59" s="5">
        <v>3980.4</v>
      </c>
      <c r="G59" s="9">
        <v>0</v>
      </c>
      <c r="H59" s="9">
        <v>0</v>
      </c>
      <c r="I59" s="9">
        <v>0</v>
      </c>
      <c r="J59" s="9">
        <v>0</v>
      </c>
      <c r="K59" s="4">
        <v>8.909082</v>
      </c>
      <c r="L59" s="5">
        <v>1477.57125</v>
      </c>
      <c r="M59" s="6">
        <v>1.0</v>
      </c>
      <c r="N59" s="4">
        <v>7.0</v>
      </c>
      <c r="O59" s="4">
        <v>0.636363</v>
      </c>
      <c r="P59" s="9">
        <v>0</v>
      </c>
      <c r="Q59" s="9">
        <v>0</v>
      </c>
      <c r="R59" s="9">
        <v>0</v>
      </c>
      <c r="S59" s="9">
        <v>0</v>
      </c>
      <c r="T59" s="4">
        <v>1.0</v>
      </c>
      <c r="U59" s="11" t="s">
        <v>56</v>
      </c>
      <c r="V59" s="5">
        <v>1085.0</v>
      </c>
      <c r="W59" s="5">
        <v>155.0</v>
      </c>
      <c r="X59" s="5">
        <v>1822.428</v>
      </c>
      <c r="Y59" s="5">
        <v>260.34685714286</v>
      </c>
      <c r="Z59" s="5">
        <v>737.428</v>
      </c>
      <c r="AA59" s="5">
        <v>105.34685714286</v>
      </c>
      <c r="AB59" s="8">
        <v>0.40464040280329</v>
      </c>
      <c r="AC59" s="4">
        <v>7.0</v>
      </c>
      <c r="AD59" s="9">
        <v>0</v>
      </c>
      <c r="AE59" s="9">
        <v>0</v>
      </c>
      <c r="AF59" s="9">
        <v>0</v>
      </c>
      <c r="AG59" s="3">
        <v>0</v>
      </c>
      <c r="AH59" s="9">
        <v>0</v>
      </c>
      <c r="AI59" s="9">
        <v>0</v>
      </c>
      <c r="AJ59" s="9">
        <v>0</v>
      </c>
      <c r="AK59" s="9">
        <v>0</v>
      </c>
      <c r="AL59" s="9">
        <v>0</v>
      </c>
      <c r="AM59" s="9">
        <v>0</v>
      </c>
      <c r="AN59" s="9">
        <v>0</v>
      </c>
      <c r="AO59" s="9">
        <v>0</v>
      </c>
      <c r="AP59" s="3">
        <v>0</v>
      </c>
      <c r="AQ59" s="9">
        <v>0</v>
      </c>
      <c r="AR59" s="9">
        <v>0</v>
      </c>
      <c r="AS59" s="9">
        <v>0</v>
      </c>
      <c r="AT59" s="9">
        <v>0</v>
      </c>
      <c r="AU59" s="3">
        <v>0</v>
      </c>
      <c r="AV59" s="9">
        <v>0</v>
      </c>
      <c r="AW59" s="9">
        <v>0</v>
      </c>
    </row>
    <row r="60" spans="1:49">
      <c r="A60" s="3">
        <v>58</v>
      </c>
      <c r="B60" s="3" t="s">
        <v>164</v>
      </c>
      <c r="C60" t="s">
        <v>165</v>
      </c>
      <c r="D60" s="3" t="s">
        <v>59</v>
      </c>
      <c r="E60" s="4">
        <v>1.0</v>
      </c>
      <c r="F60" s="5">
        <v>3500.0</v>
      </c>
      <c r="G60" s="9">
        <v>0</v>
      </c>
      <c r="H60" s="9">
        <v>0</v>
      </c>
      <c r="I60" s="9">
        <v>0</v>
      </c>
      <c r="J60" s="9">
        <v>0</v>
      </c>
      <c r="K60" s="9">
        <v>0</v>
      </c>
      <c r="L60" s="9">
        <v>0</v>
      </c>
      <c r="M60" s="13">
        <v>0</v>
      </c>
      <c r="N60" s="9">
        <v>0</v>
      </c>
      <c r="O60" s="9">
        <v>0</v>
      </c>
      <c r="P60" s="9">
        <v>0</v>
      </c>
      <c r="Q60" s="9">
        <v>0</v>
      </c>
      <c r="R60" s="9">
        <v>0</v>
      </c>
      <c r="S60" s="9">
        <v>0</v>
      </c>
      <c r="T60" s="9">
        <v>0</v>
      </c>
      <c r="U60" s="11" t="s">
        <v>56</v>
      </c>
      <c r="V60" s="9">
        <v>0</v>
      </c>
      <c r="W60" s="9">
        <v>0</v>
      </c>
      <c r="X60" s="9">
        <v>0</v>
      </c>
      <c r="Y60" s="9">
        <v>0</v>
      </c>
      <c r="Z60" s="9">
        <v>0</v>
      </c>
      <c r="AA60" s="9">
        <v>0</v>
      </c>
      <c r="AB60" s="3">
        <v>0</v>
      </c>
      <c r="AC60" s="9">
        <v>0</v>
      </c>
      <c r="AD60" s="9">
        <v>0</v>
      </c>
      <c r="AE60" s="9">
        <v>0</v>
      </c>
      <c r="AF60" s="9">
        <v>0</v>
      </c>
      <c r="AG60" s="3">
        <v>0</v>
      </c>
      <c r="AH60" s="9">
        <v>0</v>
      </c>
      <c r="AI60" s="9">
        <v>0</v>
      </c>
      <c r="AJ60" s="9">
        <v>0</v>
      </c>
      <c r="AK60" s="9">
        <v>0</v>
      </c>
      <c r="AL60" s="9">
        <v>0</v>
      </c>
      <c r="AM60" s="9">
        <v>0</v>
      </c>
      <c r="AN60" s="9">
        <v>0</v>
      </c>
      <c r="AO60" s="9">
        <v>0</v>
      </c>
      <c r="AP60" s="3">
        <v>0</v>
      </c>
      <c r="AQ60" s="9">
        <v>0</v>
      </c>
      <c r="AR60" s="9">
        <v>0</v>
      </c>
      <c r="AS60" s="9">
        <v>0</v>
      </c>
      <c r="AT60" s="9">
        <v>0</v>
      </c>
      <c r="AU60" s="3">
        <v>0</v>
      </c>
      <c r="AV60" s="9">
        <v>0</v>
      </c>
      <c r="AW60" s="9">
        <v>0</v>
      </c>
    </row>
    <row r="61" spans="1:49">
      <c r="A61" s="3">
        <v>59</v>
      </c>
      <c r="B61" s="3" t="s">
        <v>166</v>
      </c>
      <c r="C61" t="s">
        <v>167</v>
      </c>
      <c r="D61" s="3" t="s">
        <v>59</v>
      </c>
      <c r="E61" s="4">
        <v>1.0</v>
      </c>
      <c r="F61" s="5">
        <v>11499.996</v>
      </c>
      <c r="G61" s="9">
        <v>0</v>
      </c>
      <c r="H61" s="9">
        <v>0</v>
      </c>
      <c r="I61" s="9">
        <v>0</v>
      </c>
      <c r="J61" s="9">
        <v>0</v>
      </c>
      <c r="K61" s="9">
        <v>0</v>
      </c>
      <c r="L61" s="9">
        <v>0</v>
      </c>
      <c r="M61" s="13">
        <v>0</v>
      </c>
      <c r="N61" s="9">
        <v>0</v>
      </c>
      <c r="O61" s="9">
        <v>0</v>
      </c>
      <c r="P61" s="9">
        <v>0</v>
      </c>
      <c r="Q61" s="9">
        <v>0</v>
      </c>
      <c r="R61" s="9">
        <v>0</v>
      </c>
      <c r="S61" s="9">
        <v>0</v>
      </c>
      <c r="T61" s="9">
        <v>0</v>
      </c>
      <c r="U61" s="11" t="s">
        <v>56</v>
      </c>
      <c r="V61" s="9">
        <v>0</v>
      </c>
      <c r="W61" s="9">
        <v>0</v>
      </c>
      <c r="X61" s="9">
        <v>0</v>
      </c>
      <c r="Y61" s="9">
        <v>0</v>
      </c>
      <c r="Z61" s="9">
        <v>0</v>
      </c>
      <c r="AA61" s="9">
        <v>0</v>
      </c>
      <c r="AB61" s="3">
        <v>0</v>
      </c>
      <c r="AC61" s="9">
        <v>0</v>
      </c>
      <c r="AD61" s="9">
        <v>0</v>
      </c>
      <c r="AE61" s="9">
        <v>0</v>
      </c>
      <c r="AF61" s="9">
        <v>0</v>
      </c>
      <c r="AG61" s="3">
        <v>0</v>
      </c>
      <c r="AH61" s="9">
        <v>0</v>
      </c>
      <c r="AI61" s="9">
        <v>0</v>
      </c>
      <c r="AJ61" s="9">
        <v>0</v>
      </c>
      <c r="AK61" s="9">
        <v>0</v>
      </c>
      <c r="AL61" s="9">
        <v>0</v>
      </c>
      <c r="AM61" s="9">
        <v>0</v>
      </c>
      <c r="AN61" s="9">
        <v>0</v>
      </c>
      <c r="AO61" s="9">
        <v>0</v>
      </c>
      <c r="AP61" s="3">
        <v>0</v>
      </c>
      <c r="AQ61" s="9">
        <v>0</v>
      </c>
      <c r="AR61" s="9">
        <v>0</v>
      </c>
      <c r="AS61" s="9">
        <v>0</v>
      </c>
      <c r="AT61" s="9">
        <v>0</v>
      </c>
      <c r="AU61" s="3">
        <v>0</v>
      </c>
      <c r="AV61" s="9">
        <v>0</v>
      </c>
      <c r="AW61" s="9">
        <v>0</v>
      </c>
    </row>
    <row r="62" spans="1:49">
      <c r="A62" s="3">
        <v>60</v>
      </c>
      <c r="B62" s="3" t="s">
        <v>168</v>
      </c>
      <c r="C62" t="s">
        <v>169</v>
      </c>
      <c r="D62" s="3" t="s">
        <v>64</v>
      </c>
      <c r="E62" s="4">
        <v>3240.0</v>
      </c>
      <c r="F62" s="5">
        <v>111900.0</v>
      </c>
      <c r="G62" s="9">
        <v>0</v>
      </c>
      <c r="H62" s="9">
        <v>0</v>
      </c>
      <c r="I62" s="9">
        <v>0</v>
      </c>
      <c r="J62" s="9">
        <v>0</v>
      </c>
      <c r="K62" s="9">
        <v>0</v>
      </c>
      <c r="L62" s="9">
        <v>0</v>
      </c>
      <c r="M62" s="13">
        <v>0</v>
      </c>
      <c r="N62" s="9">
        <v>0</v>
      </c>
      <c r="O62" s="9">
        <v>0</v>
      </c>
      <c r="P62" s="9">
        <v>0</v>
      </c>
      <c r="Q62" s="9">
        <v>0</v>
      </c>
      <c r="R62" s="4">
        <v>587.0</v>
      </c>
      <c r="S62" s="5">
        <v>20545.0</v>
      </c>
      <c r="T62" s="9">
        <v>0</v>
      </c>
      <c r="U62" s="11" t="s">
        <v>56</v>
      </c>
      <c r="V62" s="9">
        <v>0</v>
      </c>
      <c r="W62" s="9">
        <v>0</v>
      </c>
      <c r="X62" s="9">
        <v>0</v>
      </c>
      <c r="Y62" s="9">
        <v>0</v>
      </c>
      <c r="Z62" s="9">
        <v>0</v>
      </c>
      <c r="AA62" s="9">
        <v>0</v>
      </c>
      <c r="AB62" s="3">
        <v>0</v>
      </c>
      <c r="AC62" s="9">
        <v>0</v>
      </c>
      <c r="AD62" s="9">
        <v>0</v>
      </c>
      <c r="AE62" s="9">
        <v>0</v>
      </c>
      <c r="AF62" s="9">
        <v>0</v>
      </c>
      <c r="AG62" s="3">
        <v>0</v>
      </c>
      <c r="AH62" s="9">
        <v>0</v>
      </c>
      <c r="AI62" s="9">
        <v>0</v>
      </c>
      <c r="AJ62" s="9">
        <v>0</v>
      </c>
      <c r="AK62" s="9">
        <v>0</v>
      </c>
      <c r="AL62" s="9">
        <v>0</v>
      </c>
      <c r="AM62" s="9">
        <v>0</v>
      </c>
      <c r="AN62" s="9">
        <v>0</v>
      </c>
      <c r="AO62" s="9">
        <v>0</v>
      </c>
      <c r="AP62" s="3">
        <v>0</v>
      </c>
      <c r="AQ62" s="9">
        <v>0</v>
      </c>
      <c r="AR62" s="9">
        <v>0</v>
      </c>
      <c r="AS62" s="9">
        <v>0</v>
      </c>
      <c r="AT62" s="9">
        <v>0</v>
      </c>
      <c r="AU62" s="3">
        <v>0</v>
      </c>
      <c r="AV62" s="9">
        <v>0</v>
      </c>
      <c r="AW62" s="9">
        <v>0</v>
      </c>
    </row>
    <row r="63" spans="1:49">
      <c r="A63" s="3">
        <v>61</v>
      </c>
      <c r="B63" s="3" t="s">
        <v>170</v>
      </c>
      <c r="C63" t="s">
        <v>171</v>
      </c>
      <c r="D63" s="3" t="s">
        <v>64</v>
      </c>
      <c r="E63" s="9">
        <v>0</v>
      </c>
      <c r="F63" s="9">
        <v>0</v>
      </c>
      <c r="G63" s="9">
        <v>0</v>
      </c>
      <c r="H63" s="9">
        <v>0</v>
      </c>
      <c r="I63" s="4">
        <v>1.0</v>
      </c>
      <c r="J63" s="5">
        <v>21000.002</v>
      </c>
      <c r="K63" s="9">
        <v>0</v>
      </c>
      <c r="L63" s="9">
        <v>0</v>
      </c>
      <c r="M63" s="13">
        <v>0</v>
      </c>
      <c r="N63" s="9">
        <v>0</v>
      </c>
      <c r="O63" s="9">
        <v>0</v>
      </c>
      <c r="P63" s="9">
        <v>0</v>
      </c>
      <c r="Q63" s="9">
        <v>0</v>
      </c>
      <c r="R63" s="9">
        <v>0</v>
      </c>
      <c r="S63" s="9">
        <v>0</v>
      </c>
      <c r="T63" s="9">
        <v>0</v>
      </c>
      <c r="U63" s="11" t="s">
        <v>56</v>
      </c>
      <c r="V63" s="9">
        <v>0</v>
      </c>
      <c r="W63" s="9">
        <v>0</v>
      </c>
      <c r="X63" s="9">
        <v>0</v>
      </c>
      <c r="Y63" s="9">
        <v>0</v>
      </c>
      <c r="Z63" s="9">
        <v>0</v>
      </c>
      <c r="AA63" s="9">
        <v>0</v>
      </c>
      <c r="AB63" s="3">
        <v>0</v>
      </c>
      <c r="AC63" s="9">
        <v>0</v>
      </c>
      <c r="AD63" s="9">
        <v>0</v>
      </c>
      <c r="AE63" s="9">
        <v>0</v>
      </c>
      <c r="AF63" s="9">
        <v>0</v>
      </c>
      <c r="AG63" s="3">
        <v>0</v>
      </c>
      <c r="AH63" s="9">
        <v>0</v>
      </c>
      <c r="AI63" s="9">
        <v>0</v>
      </c>
      <c r="AJ63" s="9">
        <v>0</v>
      </c>
      <c r="AK63" s="9">
        <v>0</v>
      </c>
      <c r="AL63" s="9">
        <v>0</v>
      </c>
      <c r="AM63" s="9">
        <v>0</v>
      </c>
      <c r="AN63" s="9">
        <v>0</v>
      </c>
      <c r="AO63" s="9">
        <v>0</v>
      </c>
      <c r="AP63" s="3">
        <v>0</v>
      </c>
      <c r="AQ63" s="9">
        <v>0</v>
      </c>
      <c r="AR63" s="9">
        <v>0</v>
      </c>
      <c r="AS63" s="9">
        <v>0</v>
      </c>
      <c r="AT63" s="9">
        <v>0</v>
      </c>
      <c r="AU63" s="3">
        <v>0</v>
      </c>
      <c r="AV63" s="9">
        <v>0</v>
      </c>
      <c r="AW63" s="9">
        <v>0</v>
      </c>
    </row>
    <row r="64" spans="1:49">
      <c r="A64" s="3">
        <v>62</v>
      </c>
      <c r="B64" s="3" t="s">
        <v>172</v>
      </c>
      <c r="C64" t="s">
        <v>173</v>
      </c>
      <c r="D64" s="3" t="s">
        <v>64</v>
      </c>
      <c r="E64" s="4">
        <v>5.0</v>
      </c>
      <c r="F64" s="5">
        <v>70299.992</v>
      </c>
      <c r="G64" s="9">
        <v>0</v>
      </c>
      <c r="H64" s="9">
        <v>0</v>
      </c>
      <c r="I64" s="9">
        <v>0</v>
      </c>
      <c r="J64" s="9">
        <v>0</v>
      </c>
      <c r="K64" s="9">
        <v>0</v>
      </c>
      <c r="L64" s="9">
        <v>0</v>
      </c>
      <c r="M64" s="13">
        <v>0</v>
      </c>
      <c r="N64" s="9">
        <v>0</v>
      </c>
      <c r="O64" s="9">
        <v>0</v>
      </c>
      <c r="P64" s="9">
        <v>0</v>
      </c>
      <c r="Q64" s="9">
        <v>0</v>
      </c>
      <c r="R64" s="9">
        <v>0</v>
      </c>
      <c r="S64" s="9">
        <v>0</v>
      </c>
      <c r="T64" s="9">
        <v>0</v>
      </c>
      <c r="U64" s="11" t="s">
        <v>56</v>
      </c>
      <c r="V64" s="9">
        <v>0</v>
      </c>
      <c r="W64" s="9">
        <v>0</v>
      </c>
      <c r="X64" s="9">
        <v>0</v>
      </c>
      <c r="Y64" s="9">
        <v>0</v>
      </c>
      <c r="Z64" s="9">
        <v>0</v>
      </c>
      <c r="AA64" s="9">
        <v>0</v>
      </c>
      <c r="AB64" s="3">
        <v>0</v>
      </c>
      <c r="AC64" s="9">
        <v>0</v>
      </c>
      <c r="AD64" s="9">
        <v>0</v>
      </c>
      <c r="AE64" s="9">
        <v>0</v>
      </c>
      <c r="AF64" s="9">
        <v>0</v>
      </c>
      <c r="AG64" s="3">
        <v>0</v>
      </c>
      <c r="AH64" s="9">
        <v>0</v>
      </c>
      <c r="AI64" s="9">
        <v>0</v>
      </c>
      <c r="AJ64" s="9">
        <v>0</v>
      </c>
      <c r="AK64" s="9">
        <v>0</v>
      </c>
      <c r="AL64" s="9">
        <v>0</v>
      </c>
      <c r="AM64" s="9">
        <v>0</v>
      </c>
      <c r="AN64" s="9">
        <v>0</v>
      </c>
      <c r="AO64" s="9">
        <v>0</v>
      </c>
      <c r="AP64" s="3">
        <v>0</v>
      </c>
      <c r="AQ64" s="9">
        <v>0</v>
      </c>
      <c r="AR64" s="9">
        <v>0</v>
      </c>
      <c r="AS64" s="9">
        <v>0</v>
      </c>
      <c r="AT64" s="9">
        <v>0</v>
      </c>
      <c r="AU64" s="3">
        <v>0</v>
      </c>
      <c r="AV64" s="9">
        <v>0</v>
      </c>
      <c r="AW64" s="9">
        <v>0</v>
      </c>
    </row>
    <row r="65" spans="1:49">
      <c r="A65" s="3">
        <v>63</v>
      </c>
      <c r="B65" s="3" t="s">
        <v>174</v>
      </c>
      <c r="C65" t="s">
        <v>175</v>
      </c>
      <c r="D65" s="3" t="s">
        <v>64</v>
      </c>
      <c r="E65" s="4">
        <v>1.0</v>
      </c>
      <c r="F65" s="5">
        <v>5500.0</v>
      </c>
      <c r="G65" s="9">
        <v>0</v>
      </c>
      <c r="H65" s="9">
        <v>0</v>
      </c>
      <c r="I65" s="9">
        <v>0</v>
      </c>
      <c r="J65" s="9">
        <v>0</v>
      </c>
      <c r="K65" s="9">
        <v>0</v>
      </c>
      <c r="L65" s="9">
        <v>0</v>
      </c>
      <c r="M65" s="13">
        <v>0</v>
      </c>
      <c r="N65" s="9">
        <v>0</v>
      </c>
      <c r="O65" s="9">
        <v>0</v>
      </c>
      <c r="P65" s="9">
        <v>0</v>
      </c>
      <c r="Q65" s="9">
        <v>0</v>
      </c>
      <c r="R65" s="9">
        <v>0</v>
      </c>
      <c r="S65" s="9">
        <v>0</v>
      </c>
      <c r="T65" s="9">
        <v>0</v>
      </c>
      <c r="U65" s="11" t="s">
        <v>56</v>
      </c>
      <c r="V65" s="9">
        <v>0</v>
      </c>
      <c r="W65" s="9">
        <v>0</v>
      </c>
      <c r="X65" s="9">
        <v>0</v>
      </c>
      <c r="Y65" s="9">
        <v>0</v>
      </c>
      <c r="Z65" s="9">
        <v>0</v>
      </c>
      <c r="AA65" s="9">
        <v>0</v>
      </c>
      <c r="AB65" s="3">
        <v>0</v>
      </c>
      <c r="AC65" s="9">
        <v>0</v>
      </c>
      <c r="AD65" s="9">
        <v>0</v>
      </c>
      <c r="AE65" s="9">
        <v>0</v>
      </c>
      <c r="AF65" s="9">
        <v>0</v>
      </c>
      <c r="AG65" s="3">
        <v>0</v>
      </c>
      <c r="AH65" s="9">
        <v>0</v>
      </c>
      <c r="AI65" s="9">
        <v>0</v>
      </c>
      <c r="AJ65" s="9">
        <v>0</v>
      </c>
      <c r="AK65" s="9">
        <v>0</v>
      </c>
      <c r="AL65" s="9">
        <v>0</v>
      </c>
      <c r="AM65" s="9">
        <v>0</v>
      </c>
      <c r="AN65" s="9">
        <v>0</v>
      </c>
      <c r="AO65" s="9">
        <v>0</v>
      </c>
      <c r="AP65" s="3">
        <v>0</v>
      </c>
      <c r="AQ65" s="9">
        <v>0</v>
      </c>
      <c r="AR65" s="9">
        <v>0</v>
      </c>
      <c r="AS65" s="9">
        <v>0</v>
      </c>
      <c r="AT65" s="9">
        <v>0</v>
      </c>
      <c r="AU65" s="3">
        <v>0</v>
      </c>
      <c r="AV65" s="9">
        <v>0</v>
      </c>
      <c r="AW65" s="9">
        <v>0</v>
      </c>
    </row>
    <row r="66" spans="1:49">
      <c r="A66" s="3">
        <v>64</v>
      </c>
      <c r="B66" s="3" t="s">
        <v>176</v>
      </c>
      <c r="C66" t="s">
        <v>177</v>
      </c>
      <c r="D66" s="3" t="s">
        <v>45</v>
      </c>
      <c r="E66" s="4">
        <v>1.0</v>
      </c>
      <c r="F66" s="5">
        <v>1360.0</v>
      </c>
      <c r="G66" s="9">
        <v>0</v>
      </c>
      <c r="H66" s="9">
        <v>0</v>
      </c>
      <c r="I66" s="9">
        <v>0</v>
      </c>
      <c r="J66" s="9">
        <v>0</v>
      </c>
      <c r="K66" s="9">
        <v>0</v>
      </c>
      <c r="L66" s="9">
        <v>0</v>
      </c>
      <c r="M66" s="13">
        <v>0</v>
      </c>
      <c r="N66" s="9">
        <v>0</v>
      </c>
      <c r="O66" s="9">
        <v>0</v>
      </c>
      <c r="P66" s="9">
        <v>0</v>
      </c>
      <c r="Q66" s="9">
        <v>0</v>
      </c>
      <c r="R66" s="9">
        <v>0</v>
      </c>
      <c r="S66" s="9">
        <v>0</v>
      </c>
      <c r="T66" s="9">
        <v>0</v>
      </c>
      <c r="U66" s="11" t="s">
        <v>56</v>
      </c>
      <c r="V66" s="9">
        <v>0</v>
      </c>
      <c r="W66" s="9">
        <v>0</v>
      </c>
      <c r="X66" s="9">
        <v>0</v>
      </c>
      <c r="Y66" s="9">
        <v>0</v>
      </c>
      <c r="Z66" s="9">
        <v>0</v>
      </c>
      <c r="AA66" s="9">
        <v>0</v>
      </c>
      <c r="AB66" s="3">
        <v>0</v>
      </c>
      <c r="AC66" s="9">
        <v>0</v>
      </c>
      <c r="AD66" s="9">
        <v>0</v>
      </c>
      <c r="AE66" s="9">
        <v>0</v>
      </c>
      <c r="AF66" s="9">
        <v>0</v>
      </c>
      <c r="AG66" s="3">
        <v>0</v>
      </c>
      <c r="AH66" s="9">
        <v>0</v>
      </c>
      <c r="AI66" s="9">
        <v>0</v>
      </c>
      <c r="AJ66" s="9">
        <v>0</v>
      </c>
      <c r="AK66" s="9">
        <v>0</v>
      </c>
      <c r="AL66" s="9">
        <v>0</v>
      </c>
      <c r="AM66" s="9">
        <v>0</v>
      </c>
      <c r="AN66" s="9">
        <v>0</v>
      </c>
      <c r="AO66" s="9">
        <v>0</v>
      </c>
      <c r="AP66" s="3">
        <v>0</v>
      </c>
      <c r="AQ66" s="9">
        <v>0</v>
      </c>
      <c r="AR66" s="9">
        <v>0</v>
      </c>
      <c r="AS66" s="9">
        <v>0</v>
      </c>
      <c r="AT66" s="9">
        <v>0</v>
      </c>
      <c r="AU66" s="3">
        <v>0</v>
      </c>
      <c r="AV66" s="9">
        <v>0</v>
      </c>
      <c r="AW66" s="9">
        <v>0</v>
      </c>
    </row>
    <row r="67" spans="1:49">
      <c r="A67" s="3">
        <v>65</v>
      </c>
      <c r="B67" s="3" t="s">
        <v>178</v>
      </c>
      <c r="C67" t="s">
        <v>179</v>
      </c>
      <c r="D67" s="3" t="s">
        <v>45</v>
      </c>
      <c r="E67" s="4">
        <v>1.0</v>
      </c>
      <c r="F67" s="5">
        <v>1559.996</v>
      </c>
      <c r="G67" s="9">
        <v>0</v>
      </c>
      <c r="H67" s="9">
        <v>0</v>
      </c>
      <c r="I67" s="9">
        <v>0</v>
      </c>
      <c r="J67" s="9">
        <v>0</v>
      </c>
      <c r="K67" s="9">
        <v>0</v>
      </c>
      <c r="L67" s="9">
        <v>0</v>
      </c>
      <c r="M67" s="13">
        <v>0</v>
      </c>
      <c r="N67" s="9">
        <v>0</v>
      </c>
      <c r="O67" s="9">
        <v>0</v>
      </c>
      <c r="P67" s="9">
        <v>0</v>
      </c>
      <c r="Q67" s="9">
        <v>0</v>
      </c>
      <c r="R67" s="9">
        <v>0</v>
      </c>
      <c r="S67" s="9">
        <v>0</v>
      </c>
      <c r="T67" s="9">
        <v>0</v>
      </c>
      <c r="U67" s="11" t="s">
        <v>56</v>
      </c>
      <c r="V67" s="9">
        <v>0</v>
      </c>
      <c r="W67" s="9">
        <v>0</v>
      </c>
      <c r="X67" s="9">
        <v>0</v>
      </c>
      <c r="Y67" s="9">
        <v>0</v>
      </c>
      <c r="Z67" s="9">
        <v>0</v>
      </c>
      <c r="AA67" s="9">
        <v>0</v>
      </c>
      <c r="AB67" s="3">
        <v>0</v>
      </c>
      <c r="AC67" s="9">
        <v>0</v>
      </c>
      <c r="AD67" s="9">
        <v>0</v>
      </c>
      <c r="AE67" s="9">
        <v>0</v>
      </c>
      <c r="AF67" s="9">
        <v>0</v>
      </c>
      <c r="AG67" s="3">
        <v>0</v>
      </c>
      <c r="AH67" s="9">
        <v>0</v>
      </c>
      <c r="AI67" s="9">
        <v>0</v>
      </c>
      <c r="AJ67" s="9">
        <v>0</v>
      </c>
      <c r="AK67" s="9">
        <v>0</v>
      </c>
      <c r="AL67" s="9">
        <v>0</v>
      </c>
      <c r="AM67" s="9">
        <v>0</v>
      </c>
      <c r="AN67" s="9">
        <v>0</v>
      </c>
      <c r="AO67" s="9">
        <v>0</v>
      </c>
      <c r="AP67" s="3">
        <v>0</v>
      </c>
      <c r="AQ67" s="9">
        <v>0</v>
      </c>
      <c r="AR67" s="9">
        <v>0</v>
      </c>
      <c r="AS67" s="9">
        <v>0</v>
      </c>
      <c r="AT67" s="9">
        <v>0</v>
      </c>
      <c r="AU67" s="3">
        <v>0</v>
      </c>
      <c r="AV67" s="9">
        <v>0</v>
      </c>
      <c r="AW67" s="9">
        <v>0</v>
      </c>
    </row>
    <row r="68" spans="1:49">
      <c r="A68" s="3">
        <v>66</v>
      </c>
      <c r="B68" s="3" t="s">
        <v>180</v>
      </c>
      <c r="C68" t="s">
        <v>181</v>
      </c>
      <c r="D68" s="3" t="s">
        <v>64</v>
      </c>
      <c r="E68" s="4">
        <v>1.0</v>
      </c>
      <c r="F68" s="5">
        <v>7300.0</v>
      </c>
      <c r="G68" s="9">
        <v>0</v>
      </c>
      <c r="H68" s="9">
        <v>0</v>
      </c>
      <c r="I68" s="9">
        <v>0</v>
      </c>
      <c r="J68" s="9">
        <v>0</v>
      </c>
      <c r="K68" s="9">
        <v>0</v>
      </c>
      <c r="L68" s="9">
        <v>0</v>
      </c>
      <c r="M68" s="13">
        <v>0</v>
      </c>
      <c r="N68" s="9">
        <v>0</v>
      </c>
      <c r="O68" s="9">
        <v>0</v>
      </c>
      <c r="P68" s="9">
        <v>0</v>
      </c>
      <c r="Q68" s="9">
        <v>0</v>
      </c>
      <c r="R68" s="9">
        <v>0</v>
      </c>
      <c r="S68" s="9">
        <v>0</v>
      </c>
      <c r="T68" s="9">
        <v>0</v>
      </c>
      <c r="U68" s="11" t="s">
        <v>56</v>
      </c>
      <c r="V68" s="9">
        <v>0</v>
      </c>
      <c r="W68" s="9">
        <v>0</v>
      </c>
      <c r="X68" s="9">
        <v>0</v>
      </c>
      <c r="Y68" s="9">
        <v>0</v>
      </c>
      <c r="Z68" s="9">
        <v>0</v>
      </c>
      <c r="AA68" s="9">
        <v>0</v>
      </c>
      <c r="AB68" s="3">
        <v>0</v>
      </c>
      <c r="AC68" s="9">
        <v>0</v>
      </c>
      <c r="AD68" s="9">
        <v>0</v>
      </c>
      <c r="AE68" s="9">
        <v>0</v>
      </c>
      <c r="AF68" s="9">
        <v>0</v>
      </c>
      <c r="AG68" s="3">
        <v>0</v>
      </c>
      <c r="AH68" s="9">
        <v>0</v>
      </c>
      <c r="AI68" s="9">
        <v>0</v>
      </c>
      <c r="AJ68" s="9">
        <v>0</v>
      </c>
      <c r="AK68" s="9">
        <v>0</v>
      </c>
      <c r="AL68" s="9">
        <v>0</v>
      </c>
      <c r="AM68" s="9">
        <v>0</v>
      </c>
      <c r="AN68" s="9">
        <v>0</v>
      </c>
      <c r="AO68" s="9">
        <v>0</v>
      </c>
      <c r="AP68" s="3">
        <v>0</v>
      </c>
      <c r="AQ68" s="9">
        <v>0</v>
      </c>
      <c r="AR68" s="9">
        <v>0</v>
      </c>
      <c r="AS68" s="9">
        <v>0</v>
      </c>
      <c r="AT68" s="9">
        <v>0</v>
      </c>
      <c r="AU68" s="3">
        <v>0</v>
      </c>
      <c r="AV68" s="9">
        <v>0</v>
      </c>
      <c r="AW68" s="9">
        <v>0</v>
      </c>
    </row>
    <row r="69" spans="1:49">
      <c r="A69" s="3">
        <v>67</v>
      </c>
      <c r="B69" s="3" t="s">
        <v>182</v>
      </c>
      <c r="C69" t="s">
        <v>183</v>
      </c>
      <c r="D69" s="3" t="s">
        <v>64</v>
      </c>
      <c r="E69" s="4">
        <v>1.0</v>
      </c>
      <c r="F69" s="5">
        <v>2500.002</v>
      </c>
      <c r="G69" s="9">
        <v>0</v>
      </c>
      <c r="H69" s="9">
        <v>0</v>
      </c>
      <c r="I69" s="9">
        <v>0</v>
      </c>
      <c r="J69" s="9">
        <v>0</v>
      </c>
      <c r="K69" s="9">
        <v>0</v>
      </c>
      <c r="L69" s="9">
        <v>0</v>
      </c>
      <c r="M69" s="13">
        <v>0</v>
      </c>
      <c r="N69" s="9">
        <v>0</v>
      </c>
      <c r="O69" s="9">
        <v>0</v>
      </c>
      <c r="P69" s="9">
        <v>0</v>
      </c>
      <c r="Q69" s="9">
        <v>0</v>
      </c>
      <c r="R69" s="9">
        <v>0</v>
      </c>
      <c r="S69" s="9">
        <v>0</v>
      </c>
      <c r="T69" s="9">
        <v>0</v>
      </c>
      <c r="U69" s="11" t="s">
        <v>56</v>
      </c>
      <c r="V69" s="9">
        <v>0</v>
      </c>
      <c r="W69" s="9">
        <v>0</v>
      </c>
      <c r="X69" s="9">
        <v>0</v>
      </c>
      <c r="Y69" s="9">
        <v>0</v>
      </c>
      <c r="Z69" s="9">
        <v>0</v>
      </c>
      <c r="AA69" s="9">
        <v>0</v>
      </c>
      <c r="AB69" s="3">
        <v>0</v>
      </c>
      <c r="AC69" s="9">
        <v>0</v>
      </c>
      <c r="AD69" s="9">
        <v>0</v>
      </c>
      <c r="AE69" s="9">
        <v>0</v>
      </c>
      <c r="AF69" s="9">
        <v>0</v>
      </c>
      <c r="AG69" s="3">
        <v>0</v>
      </c>
      <c r="AH69" s="9">
        <v>0</v>
      </c>
      <c r="AI69" s="9">
        <v>0</v>
      </c>
      <c r="AJ69" s="9">
        <v>0</v>
      </c>
      <c r="AK69" s="9">
        <v>0</v>
      </c>
      <c r="AL69" s="9">
        <v>0</v>
      </c>
      <c r="AM69" s="9">
        <v>0</v>
      </c>
      <c r="AN69" s="9">
        <v>0</v>
      </c>
      <c r="AO69" s="9">
        <v>0</v>
      </c>
      <c r="AP69" s="3">
        <v>0</v>
      </c>
      <c r="AQ69" s="9">
        <v>0</v>
      </c>
      <c r="AR69" s="9">
        <v>0</v>
      </c>
      <c r="AS69" s="9">
        <v>0</v>
      </c>
      <c r="AT69" s="9">
        <v>0</v>
      </c>
      <c r="AU69" s="3">
        <v>0</v>
      </c>
      <c r="AV69" s="9">
        <v>0</v>
      </c>
      <c r="AW69" s="9">
        <v>0</v>
      </c>
    </row>
    <row r="70" spans="1:49">
      <c r="A70" s="3">
        <v>68</v>
      </c>
      <c r="B70" s="3" t="s">
        <v>184</v>
      </c>
      <c r="C70" t="s">
        <v>185</v>
      </c>
      <c r="D70" s="3" t="s">
        <v>45</v>
      </c>
      <c r="E70" s="4">
        <v>60.0</v>
      </c>
      <c r="F70" s="5">
        <v>2407.5</v>
      </c>
      <c r="G70" s="9">
        <v>0</v>
      </c>
      <c r="H70" s="9">
        <v>0</v>
      </c>
      <c r="I70" s="9">
        <v>0</v>
      </c>
      <c r="J70" s="9">
        <v>0</v>
      </c>
      <c r="K70" s="4">
        <v>12.72726</v>
      </c>
      <c r="L70" s="5">
        <v>510.681308</v>
      </c>
      <c r="M70" s="6">
        <v>1.0</v>
      </c>
      <c r="N70" s="4">
        <v>10.0</v>
      </c>
      <c r="O70" s="4">
        <v>0.90909</v>
      </c>
      <c r="P70" s="9">
        <v>0</v>
      </c>
      <c r="Q70" s="9">
        <v>0</v>
      </c>
      <c r="R70" s="9">
        <v>0</v>
      </c>
      <c r="S70" s="9">
        <v>0</v>
      </c>
      <c r="T70" s="4">
        <v>1.5</v>
      </c>
      <c r="U70" s="11" t="s">
        <v>56</v>
      </c>
      <c r="V70" s="5">
        <v>375.0</v>
      </c>
      <c r="W70" s="5">
        <v>37.5</v>
      </c>
      <c r="X70" s="5">
        <v>621.498</v>
      </c>
      <c r="Y70" s="5">
        <v>62.1498</v>
      </c>
      <c r="Z70" s="5">
        <v>246.498</v>
      </c>
      <c r="AA70" s="5">
        <v>24.6498</v>
      </c>
      <c r="AB70" s="8">
        <v>0.39661913634477</v>
      </c>
      <c r="AC70" s="4">
        <v>10.0</v>
      </c>
      <c r="AD70" s="9">
        <v>0</v>
      </c>
      <c r="AE70" s="9">
        <v>0</v>
      </c>
      <c r="AF70" s="9">
        <v>0</v>
      </c>
      <c r="AG70" s="3">
        <v>0</v>
      </c>
      <c r="AH70" s="9">
        <v>0</v>
      </c>
      <c r="AI70" s="9">
        <v>0</v>
      </c>
      <c r="AJ70" s="9">
        <v>0</v>
      </c>
      <c r="AK70" s="9">
        <v>0</v>
      </c>
      <c r="AL70" s="9">
        <v>0</v>
      </c>
      <c r="AM70" s="9">
        <v>0</v>
      </c>
      <c r="AN70" s="9">
        <v>0</v>
      </c>
      <c r="AO70" s="9">
        <v>0</v>
      </c>
      <c r="AP70" s="3">
        <v>0</v>
      </c>
      <c r="AQ70" s="9">
        <v>0</v>
      </c>
      <c r="AR70" s="9">
        <v>0</v>
      </c>
      <c r="AS70" s="9">
        <v>0</v>
      </c>
      <c r="AT70" s="9">
        <v>0</v>
      </c>
      <c r="AU70" s="3">
        <v>0</v>
      </c>
      <c r="AV70" s="9">
        <v>0</v>
      </c>
      <c r="AW70" s="9">
        <v>0</v>
      </c>
    </row>
    <row r="71" spans="1:49">
      <c r="A71" s="1" t="s">
        <v>186</v>
      </c>
      <c r="B71" s="1"/>
      <c r="C71" s="1"/>
      <c r="D71" s="1"/>
      <c r="E71" s="1"/>
      <c r="F71" s="17">
        <f>SUM(F3:F71)</f>
        <v>1161391.97</v>
      </c>
      <c r="G71" s="1"/>
      <c r="H71" s="17">
        <f>SUM(H3:H71)</f>
        <v>467391.199</v>
      </c>
      <c r="I71" s="1"/>
      <c r="J71" s="17">
        <f>SUM(J3:J71)</f>
        <v>54128.103</v>
      </c>
      <c r="K71" s="1"/>
      <c r="L71" s="17">
        <f>SUM(L3:L71)</f>
        <v>9670892.137783</v>
      </c>
      <c r="M71" s="1"/>
      <c r="N71" s="1"/>
      <c r="O71" s="1"/>
      <c r="P71" s="1"/>
      <c r="Q71" s="1"/>
      <c r="R71" s="1"/>
      <c r="S71" s="17">
        <f>SUM(S3:S71)</f>
        <v>807720.66</v>
      </c>
      <c r="T71" s="1"/>
      <c r="U71" s="1"/>
      <c r="V71" s="17">
        <f>SUM(V3:V71)</f>
        <v>7505939.407</v>
      </c>
      <c r="W71" s="1"/>
      <c r="X71" s="17">
        <f>SUM(X3:X71)</f>
        <v>11283545.607</v>
      </c>
      <c r="Y71" s="1"/>
      <c r="Z71" s="17">
        <f>SUM(Z3:Z71)</f>
        <v>3777606.2</v>
      </c>
      <c r="AA71" s="1"/>
      <c r="AB71" s="1"/>
      <c r="AC71" s="1"/>
      <c r="AD71" s="1"/>
      <c r="AE71" s="1"/>
      <c r="AF71" s="17">
        <f>SUM(AF3:AF71)</f>
        <v>0</v>
      </c>
      <c r="AG71" s="1"/>
      <c r="AH71" s="1"/>
      <c r="AI71" s="17">
        <f>SUM(AI3:AI71)</f>
        <v>0</v>
      </c>
      <c r="AJ71" s="17">
        <f>SUM(AJ3:V71)</f>
        <v>46311663.484556</v>
      </c>
      <c r="AK71" s="1"/>
      <c r="AL71" s="17">
        <f>SUM(AL3:AL71)</f>
        <v>1250910.227</v>
      </c>
      <c r="AM71" s="1"/>
      <c r="AN71" s="17">
        <f>SUM(AN3:AN71)</f>
        <v>418151.347</v>
      </c>
      <c r="AO71" s="1"/>
      <c r="AP71" s="1"/>
      <c r="AQ71" s="1"/>
      <c r="AR71" s="1"/>
      <c r="AS71" s="1"/>
      <c r="AT71" s="17">
        <f>SUM(AT3:AT71)</f>
        <v>0</v>
      </c>
      <c r="AU71" s="1"/>
      <c r="AV71" s="1"/>
      <c r="AW71" s="17">
        <f>SUM(AW3:AW71)</f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F1"/>
    <mergeCell ref="G1:H1"/>
    <mergeCell ref="I1:J1"/>
    <mergeCell ref="K1:M1"/>
    <mergeCell ref="N1:O1"/>
    <mergeCell ref="P1:Q1"/>
    <mergeCell ref="R1:U1"/>
    <mergeCell ref="V1:AB1"/>
    <mergeCell ref="AC1:AI1"/>
    <mergeCell ref="AJ1:AP1"/>
    <mergeCell ref="AQ1:AW1"/>
    <mergeCell ref="A71:D7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J1"/>
  <sheetViews>
    <sheetView tabSelected="0" workbookViewId="0" showGridLines="true" showRowColHeaders="1">
      <pane ySplit="1" topLeftCell="A2" activePane="bottomLeft" state="frozen"/>
      <selection pane="bottomLeft" activeCell="A1" sqref="A1:AJ1"/>
    </sheetView>
  </sheetViews>
  <sheetFormatPr defaultRowHeight="14.4" defaultColWidth="13" outlineLevelRow="0" outlineLevelCol="0"/>
  <cols>
    <col min="1" max="1" width="6" customWidth="true" style="0"/>
    <col min="2" max="2" width="20" customWidth="true" style="0"/>
    <col min="3" max="3" width="15" customWidth="true" style="0"/>
    <col min="4" max="4" width="15" customWidth="true" style="0"/>
    <col min="5" max="5" width="50" customWidth="true" style="0"/>
    <col min="6" max="6" width="15" customWidth="true" style="0"/>
    <col min="7" max="7" width="50" customWidth="true" style="0"/>
    <col min="8" max="8" width="8" customWidth="true" style="0"/>
    <col min="9" max="9" width="15" customWidth="true" style="0"/>
    <col min="10" max="10" width="13" style="0"/>
    <col min="11" max="11" width="30" customWidth="true" style="0"/>
    <col min="12" max="12" width="60" customWidth="true" style="0"/>
  </cols>
  <sheetData>
    <row r="1" spans="1:36" customHeight="1" ht="18">
      <c r="A1" s="1" t="s">
        <v>0</v>
      </c>
      <c r="B1" s="1" t="s">
        <v>187</v>
      </c>
      <c r="C1" s="1" t="s">
        <v>188</v>
      </c>
      <c r="D1" s="1" t="s">
        <v>189</v>
      </c>
      <c r="E1" s="1" t="s">
        <v>190</v>
      </c>
      <c r="F1" s="1" t="s">
        <v>1</v>
      </c>
      <c r="G1" s="1" t="s">
        <v>2</v>
      </c>
      <c r="H1" s="1" t="s">
        <v>191</v>
      </c>
      <c r="I1" s="1" t="s">
        <v>192</v>
      </c>
      <c r="J1" s="1" t="s">
        <v>193</v>
      </c>
      <c r="K1" s="1" t="s">
        <v>194</v>
      </c>
      <c r="L1" s="1" t="s">
        <v>195</v>
      </c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ข้อมูลซัพพลายเออร์</vt:lpstr>
      <vt:lpstr>ข้อมูลการคืนเคลมสินค้า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ศุภาวิตา  ศรีวิบูลย์</dc:creator>
  <cp:lastModifiedBy>ศุภาวิตา  ศรีวิบูลย์</cp:lastModifiedBy>
  <dcterms:created xsi:type="dcterms:W3CDTF">2024-02-13T15:20:48+07:00</dcterms:created>
  <dcterms:modified xsi:type="dcterms:W3CDTF">2024-02-13T15:20:48+07:00</dcterms:modified>
  <dc:title>รายงานประเมินซัพพลายเออร์ บจ.คิงบางกอก อินเตอร์เทรด</dc:title>
  <dc:description/>
  <dc:subject>รายงานประเมินซัพพลายเออร์ บจ.คิงบางกอก อินเตอร์เทรด</dc:subject>
  <cp:keywords/>
  <cp:category/>
</cp:coreProperties>
</file>