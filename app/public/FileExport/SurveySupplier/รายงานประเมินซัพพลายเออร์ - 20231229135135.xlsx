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<sst xmlns="http://schemas.openxmlformats.org/spreadsheetml/2006/main" uniqueCount="80">
  <si>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</si>
  <si>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</si>
  <si>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</si>
  <si>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</si>
  <si>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</si>
  <si>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</si>
  <si>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</si>
  <si>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</si>
  <si>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</si>
  <si>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2024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</si>
  <si>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</si>
  <si>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</si>
  <si>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</si>
  <si>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</si>
  <si>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</si>
  <si>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29/12/2023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</si>
  <si>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</si>
  <si>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</si>
  <si>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</si>
  <si>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</si>
  <si>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</si>
  <si>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</si>
  <si>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</si>
  <si>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</si>
  <si>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</si>
  <si>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</si>
  <si>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</si>
  <si>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</si>
  <si>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</si>
  <si>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</si>
  <si>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</si>
  <si>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</si>
  <si>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</si>
  <si>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</si>
  <si>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</si>
  <si>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</si>
  <si>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วิเคราะห์การขาย 2023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</si>
  <si>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</si>
  <si>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</si>
  <si>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</si>
  <si>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</si>
  <si>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</si>
  <si>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</si>
  <si>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36-114-142</t>
  </si>
  <si>
    <t>ใบเลื่อย FREUD 10"x120T (ตัดอลูมิเนียม) LU5E0400</t>
  </si>
  <si>
    <t>M</t>
  </si>
  <si>
    <t>36-114-150</t>
  </si>
  <si>
    <t>ใบเลื่อย FREUD 12"x120T(ตัดอลูมิเนียม)LU5E0600</t>
  </si>
  <si>
    <t>36-114-104</t>
  </si>
  <si>
    <t>ใบเลื่อย FREUD 7"x40T (ตัดไม้) LP33MCR3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</si>
  <si>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</si>
  <si>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</si>
  <si>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</si>
  <si>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</si>
  <si>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</si>
  <si>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</si>
  <si>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</si>
  <si>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</si>
  <si>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</si>
  <si>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</si>
  <si>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</si>
  <si>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</si>
  <si>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</si>
  <si>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</si>
  <si>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ฝ่ายขายออนไลน์</t>
  </si>
  <si>
    <t>RN-65022095</t>
  </si>
  <si>
    <t>W-05595 - บีบีช็อป</t>
  </si>
  <si>
    <t>WP5</t>
  </si>
  <si>
    <t>ใบ</t>
  </si>
  <si>
    <t>สินค้าชำรุดสภาพดี AX</t>
  </si>
  <si>
    <t>ชำรุดมีรอยร้าว</t>
  </si>
  <si>
    <t>ฝ่ายขายร้านค้า ตจว.</t>
  </si>
  <si>
    <t>PE-66081007</t>
  </si>
  <si>
    <t>C-10629 - บุญคู่บ้าน</t>
  </si>
  <si>
    <t>ชำรุดจากโรงงาน</t>
  </si>
  <si>
    <t>ฟันหัก</t>
  </si>
  <si>
    <t>ฝ่ายขายหน้าร้าน</t>
  </si>
  <si>
    <t>PE-66101001</t>
  </si>
  <si>
    <t>C-11964 - ราชบุรี กิมเซ่งฮวด</t>
  </si>
  <si>
    <t>ฟันหัก  ลูกค้าใช้งานตัดอลูมมิเนียมธรรมดา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</si>
</sst>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5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dc3545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  <fill>
      <patternFill patternType="solid">
        <fgColor rgb="fffff3cd"/>
        <bgColor rgb="FF000000"/>
      </patternFill>
    </fill>
    <fill>
      <patternFill patternType="solid">
        <fgColor rgb="fff8d7da"/>
        <bgColor rgb="FF000000"/>
      </patternFill>
    </fill>
  </fills>
  <borders count="1">
    <border/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2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2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3" numFmtId="164" fillId="3" borderId="0" applyFont="1" applyNumberFormat="1" applyFill="1" applyBorder="0" applyAlignment="1">
      <alignment horizontal="center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8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8" sqref="AW8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0</v>
      </c>
      <c r="F3" s="4">
        <v>0</v>
      </c>
      <c r="G3" s="5">
        <v>10.0</v>
      </c>
      <c r="H3" s="6">
        <v>20865.0</v>
      </c>
      <c r="I3" s="4">
        <v>0</v>
      </c>
      <c r="J3" s="4">
        <v>0</v>
      </c>
      <c r="K3" s="5">
        <v>705.090904</v>
      </c>
      <c r="L3" s="6">
        <v>955778.924008</v>
      </c>
      <c r="M3" s="7">
        <v>1.0</v>
      </c>
      <c r="N3" s="5">
        <v>435.0</v>
      </c>
      <c r="O3" s="5">
        <v>39.181818</v>
      </c>
      <c r="P3" s="5">
        <v>565.0</v>
      </c>
      <c r="Q3" s="5">
        <v>50.363636</v>
      </c>
      <c r="R3" s="5">
        <v>217.0</v>
      </c>
      <c r="S3" s="6">
        <v>294152.18</v>
      </c>
      <c r="T3" s="5">
        <v>47.083333</v>
      </c>
      <c r="U3" s="8">
        <v>4.6088495901511</v>
      </c>
      <c r="V3" s="6">
        <v>550273.93</v>
      </c>
      <c r="W3" s="6">
        <v>1264.9975402299</v>
      </c>
      <c r="X3" s="6">
        <v>851692.843</v>
      </c>
      <c r="Y3" s="6">
        <v>1957.9145816092</v>
      </c>
      <c r="Z3" s="6">
        <v>301418.913</v>
      </c>
      <c r="AA3" s="6">
        <v>692.91704137931</v>
      </c>
      <c r="AB3" s="9">
        <v>0.35390565445905</v>
      </c>
      <c r="AC3" s="5">
        <v>435.0</v>
      </c>
      <c r="AD3" s="5">
        <v>1.0</v>
      </c>
      <c r="AE3" s="5">
        <v>1.0</v>
      </c>
      <c r="AF3" s="4">
        <v>0</v>
      </c>
      <c r="AG3" s="10">
        <v>0.0022988505747126</v>
      </c>
      <c r="AH3" s="5">
        <v>1.0</v>
      </c>
      <c r="AI3" s="6">
        <v>1355.54</v>
      </c>
      <c r="AJ3" s="6">
        <v>753422.944</v>
      </c>
      <c r="AK3" s="6">
        <v>1333.4919362832</v>
      </c>
      <c r="AL3" s="6">
        <v>1180178.963</v>
      </c>
      <c r="AM3" s="6">
        <v>2088.8123238938</v>
      </c>
      <c r="AN3" s="6">
        <v>426756.019</v>
      </c>
      <c r="AO3" s="6">
        <v>755.32038761062</v>
      </c>
      <c r="AP3" s="9">
        <v>0.36160280125244</v>
      </c>
      <c r="AQ3" s="5">
        <v>565.0</v>
      </c>
      <c r="AR3" s="5">
        <v>2.0</v>
      </c>
      <c r="AS3" s="4">
        <v>0</v>
      </c>
      <c r="AT3" s="4">
        <v>0</v>
      </c>
      <c r="AU3" s="3">
        <v>0</v>
      </c>
      <c r="AV3" s="5">
        <v>1.0</v>
      </c>
      <c r="AW3" s="6">
        <v>1355.54</v>
      </c>
    </row>
    <row r="4" spans="1:49">
      <c r="A4" s="3">
        <v>2</v>
      </c>
      <c r="B4" s="3" t="s">
        <v>46</v>
      </c>
      <c r="C4" t="s">
        <v>47</v>
      </c>
      <c r="D4" s="3" t="s">
        <v>45</v>
      </c>
      <c r="E4" s="4">
        <v>0</v>
      </c>
      <c r="F4" s="4">
        <v>0</v>
      </c>
      <c r="G4" s="5">
        <v>5.0</v>
      </c>
      <c r="H4" s="6">
        <v>12572.5</v>
      </c>
      <c r="I4" s="4">
        <v>0</v>
      </c>
      <c r="J4" s="4">
        <v>0</v>
      </c>
      <c r="K4" s="5">
        <v>521.818178</v>
      </c>
      <c r="L4" s="6">
        <v>850245.321051</v>
      </c>
      <c r="M4" s="7">
        <v>1.0</v>
      </c>
      <c r="N4" s="5">
        <v>244.0</v>
      </c>
      <c r="O4" s="5">
        <v>22.090909</v>
      </c>
      <c r="P4" s="5">
        <v>417.0</v>
      </c>
      <c r="Q4" s="5">
        <v>37.272727</v>
      </c>
      <c r="R4" s="5">
        <v>107.0</v>
      </c>
      <c r="S4" s="6">
        <v>174344.73</v>
      </c>
      <c r="T4" s="5">
        <v>34.75</v>
      </c>
      <c r="U4" s="11">
        <v>3.0791366906475</v>
      </c>
      <c r="V4" s="6">
        <v>365300.96</v>
      </c>
      <c r="W4" s="6">
        <v>1497.1350819672</v>
      </c>
      <c r="X4" s="6">
        <v>541695.194</v>
      </c>
      <c r="Y4" s="6">
        <v>2220.0622704918</v>
      </c>
      <c r="Z4" s="6">
        <v>176394.234</v>
      </c>
      <c r="AA4" s="6">
        <v>722.92718852459</v>
      </c>
      <c r="AB4" s="9">
        <v>0.32563374376181</v>
      </c>
      <c r="AC4" s="5">
        <v>244.0</v>
      </c>
      <c r="AD4" s="4">
        <v>0</v>
      </c>
      <c r="AE4" s="4">
        <v>0</v>
      </c>
      <c r="AF4" s="4">
        <v>0</v>
      </c>
      <c r="AG4" s="3">
        <v>0</v>
      </c>
      <c r="AH4" s="4">
        <v>0</v>
      </c>
      <c r="AI4" s="4">
        <v>0</v>
      </c>
      <c r="AJ4" s="6">
        <v>661395.31</v>
      </c>
      <c r="AK4" s="6">
        <v>1586.0798800959</v>
      </c>
      <c r="AL4" s="6">
        <v>1003322.919</v>
      </c>
      <c r="AM4" s="6">
        <v>2406.0501654676</v>
      </c>
      <c r="AN4" s="6">
        <v>341927.609</v>
      </c>
      <c r="AO4" s="6">
        <v>819.9702853717</v>
      </c>
      <c r="AP4" s="9">
        <v>0.34079517424041</v>
      </c>
      <c r="AQ4" s="5">
        <v>417.0</v>
      </c>
      <c r="AR4" s="4">
        <v>0</v>
      </c>
      <c r="AS4" s="4">
        <v>0</v>
      </c>
      <c r="AT4" s="4">
        <v>0</v>
      </c>
      <c r="AU4" s="3">
        <v>0</v>
      </c>
      <c r="AV4" s="4">
        <v>0</v>
      </c>
      <c r="AW4" s="4">
        <v>0</v>
      </c>
    </row>
    <row r="5" spans="1:49">
      <c r="A5" s="3">
        <v>3</v>
      </c>
      <c r="B5" s="3" t="s">
        <v>48</v>
      </c>
      <c r="C5" t="s">
        <v>49</v>
      </c>
      <c r="D5" s="3" t="s">
        <v>45</v>
      </c>
      <c r="E5" s="5">
        <v>20.0</v>
      </c>
      <c r="F5" s="6">
        <v>12818.6</v>
      </c>
      <c r="G5" s="4">
        <v>0</v>
      </c>
      <c r="H5" s="4">
        <v>0</v>
      </c>
      <c r="I5" s="4">
        <v>0</v>
      </c>
      <c r="J5" s="4">
        <v>0</v>
      </c>
      <c r="K5" s="5">
        <v>791.636356</v>
      </c>
      <c r="L5" s="6">
        <v>267581.004692</v>
      </c>
      <c r="M5" s="7">
        <v>1.0</v>
      </c>
      <c r="N5" s="5">
        <v>305.0</v>
      </c>
      <c r="O5" s="5">
        <v>27.727272</v>
      </c>
      <c r="P5" s="5">
        <v>631.0</v>
      </c>
      <c r="Q5" s="5">
        <v>56.545454</v>
      </c>
      <c r="R5" s="5">
        <v>16.0</v>
      </c>
      <c r="S5" s="6">
        <v>5408.16</v>
      </c>
      <c r="T5" s="5">
        <v>52.583333</v>
      </c>
      <c r="U5" s="11">
        <v>0.30427892427435</v>
      </c>
      <c r="V5" s="6">
        <v>129606.9</v>
      </c>
      <c r="W5" s="6">
        <v>424.9406557377</v>
      </c>
      <c r="X5" s="6">
        <v>206851.456</v>
      </c>
      <c r="Y5" s="6">
        <v>678.20149508197</v>
      </c>
      <c r="Z5" s="6">
        <v>77244.556</v>
      </c>
      <c r="AA5" s="6">
        <v>253.26083934426</v>
      </c>
      <c r="AB5" s="9">
        <v>0.37343008114963</v>
      </c>
      <c r="AC5" s="5">
        <v>305.0</v>
      </c>
      <c r="AD5" s="4">
        <v>0</v>
      </c>
      <c r="AE5" s="4">
        <v>0</v>
      </c>
      <c r="AF5" s="4">
        <v>0</v>
      </c>
      <c r="AG5" s="3">
        <v>0</v>
      </c>
      <c r="AH5" s="4">
        <v>0</v>
      </c>
      <c r="AI5" s="4">
        <v>0</v>
      </c>
      <c r="AJ5" s="6">
        <v>206004.17</v>
      </c>
      <c r="AK5" s="6">
        <v>326.47253565769</v>
      </c>
      <c r="AL5" s="6">
        <v>440062.52</v>
      </c>
      <c r="AM5" s="6">
        <v>697.40494453249</v>
      </c>
      <c r="AN5" s="6">
        <v>234058.35</v>
      </c>
      <c r="AO5" s="6">
        <v>370.9324088748</v>
      </c>
      <c r="AP5" s="9">
        <v>0.5318752208209</v>
      </c>
      <c r="AQ5" s="5">
        <v>631.0</v>
      </c>
      <c r="AR5" s="4">
        <v>0</v>
      </c>
      <c r="AS5" s="4">
        <v>0</v>
      </c>
      <c r="AT5" s="4">
        <v>0</v>
      </c>
      <c r="AU5" s="3">
        <v>0</v>
      </c>
      <c r="AV5" s="4">
        <v>0</v>
      </c>
      <c r="AW5" s="4">
        <v>0</v>
      </c>
    </row>
    <row r="6" spans="1:49">
      <c r="A6" s="3">
        <v>4</v>
      </c>
      <c r="B6" s="3" t="s">
        <v>50</v>
      </c>
      <c r="C6" t="s">
        <v>51</v>
      </c>
      <c r="D6" s="3" t="s">
        <v>45</v>
      </c>
      <c r="E6" s="5">
        <v>20.0</v>
      </c>
      <c r="F6" s="6">
        <v>19902.0</v>
      </c>
      <c r="G6" s="4">
        <v>0</v>
      </c>
      <c r="H6" s="4">
        <v>0</v>
      </c>
      <c r="I6" s="4">
        <v>0</v>
      </c>
      <c r="J6" s="4">
        <v>0</v>
      </c>
      <c r="K6" s="5">
        <v>450.545452</v>
      </c>
      <c r="L6" s="6">
        <v>281307.063865</v>
      </c>
      <c r="M6" s="7">
        <v>1.0</v>
      </c>
      <c r="N6" s="5">
        <v>415.0</v>
      </c>
      <c r="O6" s="5">
        <v>37.272727</v>
      </c>
      <c r="P6" s="5">
        <v>365.0</v>
      </c>
      <c r="Q6" s="5">
        <v>32.181818</v>
      </c>
      <c r="R6" s="5">
        <v>48.0</v>
      </c>
      <c r="S6" s="6">
        <v>29969.76</v>
      </c>
      <c r="T6" s="5">
        <v>30.416666</v>
      </c>
      <c r="U6" s="11">
        <v>1.5780822263689</v>
      </c>
      <c r="V6" s="6">
        <v>245344.521</v>
      </c>
      <c r="W6" s="6">
        <v>591.19161686747</v>
      </c>
      <c r="X6" s="6">
        <v>365427.027</v>
      </c>
      <c r="Y6" s="6">
        <v>880.54705301205</v>
      </c>
      <c r="Z6" s="6">
        <v>120082.506</v>
      </c>
      <c r="AA6" s="6">
        <v>289.35543614458</v>
      </c>
      <c r="AB6" s="9">
        <v>0.32860871563285</v>
      </c>
      <c r="AC6" s="5">
        <v>415.0</v>
      </c>
      <c r="AD6" s="4">
        <v>0</v>
      </c>
      <c r="AE6" s="4">
        <v>0</v>
      </c>
      <c r="AF6" s="4">
        <v>0</v>
      </c>
      <c r="AG6" s="3">
        <v>0</v>
      </c>
      <c r="AH6" s="4">
        <v>0</v>
      </c>
      <c r="AI6" s="4">
        <v>0</v>
      </c>
      <c r="AJ6" s="6">
        <v>224421.763</v>
      </c>
      <c r="AK6" s="6">
        <v>614.85414520548</v>
      </c>
      <c r="AL6" s="6">
        <v>366701.844</v>
      </c>
      <c r="AM6" s="6">
        <v>1004.6625863014</v>
      </c>
      <c r="AN6" s="6">
        <v>142280.081</v>
      </c>
      <c r="AO6" s="6">
        <v>389.80844109589</v>
      </c>
      <c r="AP6" s="9">
        <v>0.38799936059225</v>
      </c>
      <c r="AQ6" s="5">
        <v>365.0</v>
      </c>
      <c r="AR6" s="4">
        <v>0</v>
      </c>
      <c r="AS6" s="4">
        <v>0</v>
      </c>
      <c r="AT6" s="4">
        <v>0</v>
      </c>
      <c r="AU6" s="3">
        <v>0</v>
      </c>
      <c r="AV6" s="4">
        <v>0</v>
      </c>
      <c r="AW6" s="4">
        <v>0</v>
      </c>
    </row>
    <row r="7" spans="1:49">
      <c r="A7" s="3">
        <v>5</v>
      </c>
      <c r="B7" s="3" t="s">
        <v>52</v>
      </c>
      <c r="C7" t="s">
        <v>53</v>
      </c>
      <c r="D7" s="3" t="s">
        <v>45</v>
      </c>
      <c r="E7" s="5">
        <v>20.0</v>
      </c>
      <c r="F7" s="6">
        <v>34240.0</v>
      </c>
      <c r="G7" s="4">
        <v>0</v>
      </c>
      <c r="H7" s="4">
        <v>0</v>
      </c>
      <c r="I7" s="4">
        <v>0</v>
      </c>
      <c r="J7" s="4">
        <v>0</v>
      </c>
      <c r="K7" s="5">
        <v>91.636356</v>
      </c>
      <c r="L7" s="6">
        <v>85320.778344</v>
      </c>
      <c r="M7" s="7">
        <v>1.0</v>
      </c>
      <c r="N7" s="5">
        <v>50.0</v>
      </c>
      <c r="O7" s="5">
        <v>4.545454</v>
      </c>
      <c r="P7" s="5">
        <v>72.0</v>
      </c>
      <c r="Q7" s="5">
        <v>6.545454</v>
      </c>
      <c r="R7" s="5">
        <v>57.0</v>
      </c>
      <c r="S7" s="6">
        <v>53071.56</v>
      </c>
      <c r="T7" s="5">
        <v>6.0</v>
      </c>
      <c r="U7" s="12">
        <v>9.5</v>
      </c>
      <c r="V7" s="6">
        <v>49112.84</v>
      </c>
      <c r="W7" s="6">
        <v>982.2568</v>
      </c>
      <c r="X7" s="6">
        <v>65951.227</v>
      </c>
      <c r="Y7" s="6">
        <v>1319.02454</v>
      </c>
      <c r="Z7" s="6">
        <v>16838.387</v>
      </c>
      <c r="AA7" s="6">
        <v>336.76774</v>
      </c>
      <c r="AB7" s="9">
        <v>0.25531575022857</v>
      </c>
      <c r="AC7" s="5">
        <v>50.0</v>
      </c>
      <c r="AD7" s="4">
        <v>0</v>
      </c>
      <c r="AE7" s="4">
        <v>0</v>
      </c>
      <c r="AF7" s="4">
        <v>0</v>
      </c>
      <c r="AG7" s="3">
        <v>0</v>
      </c>
      <c r="AH7" s="4">
        <v>0</v>
      </c>
      <c r="AI7" s="4">
        <v>0</v>
      </c>
      <c r="AJ7" s="6">
        <v>63596.6</v>
      </c>
      <c r="AK7" s="6">
        <v>883.28611111111</v>
      </c>
      <c r="AL7" s="6">
        <v>96754.93</v>
      </c>
      <c r="AM7" s="6">
        <v>1343.8184722222</v>
      </c>
      <c r="AN7" s="6">
        <v>33158.33</v>
      </c>
      <c r="AO7" s="6">
        <v>460.53236111111</v>
      </c>
      <c r="AP7" s="9">
        <v>0.34270429424113</v>
      </c>
      <c r="AQ7" s="5">
        <v>72.0</v>
      </c>
      <c r="AR7" s="4">
        <v>0</v>
      </c>
      <c r="AS7" s="4">
        <v>0</v>
      </c>
      <c r="AT7" s="4">
        <v>0</v>
      </c>
      <c r="AU7" s="3">
        <v>0</v>
      </c>
      <c r="AV7" s="4">
        <v>0</v>
      </c>
      <c r="AW7" s="4">
        <v>0</v>
      </c>
    </row>
    <row r="8" spans="1:49">
      <c r="A8" s="1" t="s">
        <v>54</v>
      </c>
      <c r="B8" s="1"/>
      <c r="C8" s="1"/>
      <c r="D8" s="1"/>
      <c r="E8" s="1"/>
      <c r="F8" s="13">
        <f>SUM(F3:F8)</f>
        <v>66960.6</v>
      </c>
      <c r="G8" s="1"/>
      <c r="H8" s="13">
        <f>SUM(H3:H8)</f>
        <v>33437.5</v>
      </c>
      <c r="I8" s="1"/>
      <c r="J8" s="13">
        <f>SUM(J3:J8)</f>
        <v>0</v>
      </c>
      <c r="K8" s="1"/>
      <c r="L8" s="13">
        <f>SUM(L3:L8)</f>
        <v>2440233.09196</v>
      </c>
      <c r="M8" s="1"/>
      <c r="N8" s="1"/>
      <c r="O8" s="1"/>
      <c r="P8" s="1"/>
      <c r="Q8" s="1"/>
      <c r="R8" s="1"/>
      <c r="S8" s="13">
        <f>SUM(S3:S8)</f>
        <v>556946.39</v>
      </c>
      <c r="T8" s="1"/>
      <c r="U8" s="1"/>
      <c r="V8" s="13">
        <f>SUM(V3:V8)</f>
        <v>1339639.151</v>
      </c>
      <c r="W8" s="1"/>
      <c r="X8" s="13">
        <f>SUM(X3:X8)</f>
        <v>2031617.747</v>
      </c>
      <c r="Y8" s="1"/>
      <c r="Z8" s="13">
        <f>SUM(Z3:Z8)</f>
        <v>691978.596</v>
      </c>
      <c r="AA8" s="1"/>
      <c r="AB8" s="1"/>
      <c r="AC8" s="1"/>
      <c r="AD8" s="1"/>
      <c r="AE8" s="1"/>
      <c r="AF8" s="13">
        <f>SUM(AF3:AF8)</f>
        <v>0</v>
      </c>
      <c r="AG8" s="1"/>
      <c r="AH8" s="1"/>
      <c r="AI8" s="13">
        <f>SUM(AI3:AI8)</f>
        <v>1355.54</v>
      </c>
      <c r="AJ8" s="13">
        <f>SUM(AJ3:V8)</f>
        <v>10053587.994073</v>
      </c>
      <c r="AK8" s="1"/>
      <c r="AL8" s="13">
        <f>SUM(AL3:AL8)</f>
        <v>3087021.176</v>
      </c>
      <c r="AM8" s="1"/>
      <c r="AN8" s="13">
        <f>SUM(AN3:AN8)</f>
        <v>1178180.389</v>
      </c>
      <c r="AO8" s="1"/>
      <c r="AP8" s="1"/>
      <c r="AQ8" s="1"/>
      <c r="AR8" s="1"/>
      <c r="AS8" s="1"/>
      <c r="AT8" s="13">
        <f>SUM(AT3:AT8)</f>
        <v>0</v>
      </c>
      <c r="AU8" s="1"/>
      <c r="AV8" s="1"/>
      <c r="AW8" s="13">
        <f>SUM(AW3:AW8)</f>
        <v>1355.54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8:D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4"/>
  <sheetViews>
    <sheetView tabSelected="0" workbookViewId="0" showGridLines="true" showRowColHeaders="1">
      <pane ySplit="1" topLeftCell="A2" activePane="bottomLeft" state="frozen"/>
      <selection pane="bottomLeft" activeCell="I4" sqref="I4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1</v>
      </c>
      <c r="G1" s="1" t="s">
        <v>2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64</v>
      </c>
      <c r="C2" s="3" t="s">
        <v>65</v>
      </c>
      <c r="D2" s="14">
        <v>44620.0</v>
      </c>
      <c r="E2" t="s">
        <v>66</v>
      </c>
      <c r="F2" s="3" t="s">
        <v>43</v>
      </c>
      <c r="G2" t="s">
        <v>44</v>
      </c>
      <c r="H2" s="3" t="s">
        <v>67</v>
      </c>
      <c r="I2" s="5">
        <v>1.0</v>
      </c>
      <c r="J2" t="s">
        <v>68</v>
      </c>
      <c r="K2" t="s">
        <v>69</v>
      </c>
      <c r="L2" t="s">
        <v>70</v>
      </c>
    </row>
    <row r="3" spans="1:36">
      <c r="A3" s="3">
        <v>2</v>
      </c>
      <c r="B3" t="s">
        <v>71</v>
      </c>
      <c r="C3" s="3" t="s">
        <v>72</v>
      </c>
      <c r="D3" s="14">
        <v>45142.0</v>
      </c>
      <c r="E3" t="s">
        <v>73</v>
      </c>
      <c r="F3" s="3" t="s">
        <v>43</v>
      </c>
      <c r="G3" t="s">
        <v>44</v>
      </c>
      <c r="H3" s="3" t="s">
        <v>67</v>
      </c>
      <c r="I3" s="5">
        <v>1.0</v>
      </c>
      <c r="J3" t="s">
        <v>68</v>
      </c>
      <c r="K3" t="s">
        <v>74</v>
      </c>
      <c r="L3" t="s">
        <v>75</v>
      </c>
    </row>
    <row r="4" spans="1:36">
      <c r="A4" s="3">
        <v>3</v>
      </c>
      <c r="B4" t="s">
        <v>76</v>
      </c>
      <c r="C4" s="3" t="s">
        <v>77</v>
      </c>
      <c r="D4" s="14">
        <v>45203.0</v>
      </c>
      <c r="E4" t="s">
        <v>78</v>
      </c>
      <c r="F4" s="3" t="s">
        <v>43</v>
      </c>
      <c r="G4" t="s">
        <v>44</v>
      </c>
      <c r="H4" s="3" t="s">
        <v>67</v>
      </c>
      <c r="I4" s="5">
        <v>1.0</v>
      </c>
      <c r="J4" t="s">
        <v>68</v>
      </c>
      <c r="K4" t="s">
        <v>74</v>
      </c>
      <c r="L4" t="s">
        <v>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2023-12-29T13:51:34+07:00</dcterms:created>
  <dcterms:modified xsi:type="dcterms:W3CDTF">2023-12-29T13:51:34+07:00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