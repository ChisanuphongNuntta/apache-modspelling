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<sst xmlns="http://schemas.openxmlformats.org/spreadsheetml/2006/main" uniqueCount="144">
  <si>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</si>
  <si>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</si>
  <si>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</si>
  <si>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</si>
  <si>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</si>
  <si>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</si>
  <si>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</si>
  <si>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</si>
  <si>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</si>
  <si>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2024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</si>
  <si>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</si>
  <si>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</si>
  <si>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</si>
  <si>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</si>
  <si>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</si>
  <si>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29/12/2023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</si>
  <si>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</si>
  <si>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</si>
  <si>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</si>
  <si>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</si>
  <si>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</si>
  <si>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</si>
  <si>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</si>
  <si>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</si>
  <si>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</si>
  <si>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</si>
  <si>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</si>
  <si>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</si>
  <si>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</si>
  <si>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</si>
  <si>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</si>
  <si>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</si>
  <si>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</si>
  <si>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</si>
  <si>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</si>
  <si>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</si>
  <si>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วิเคราะห์การขาย 2023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</si>
  <si>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</si>
  <si>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</si>
  <si>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</si>
  <si>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</si>
  <si>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</si>
  <si>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</si>
  <si>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37-112-913</t>
  </si>
  <si>
    <t>แปรงถ่าน NKT CB-411 (MAKITA)</t>
  </si>
  <si>
    <t>M</t>
  </si>
  <si>
    <t>DEAD</t>
  </si>
  <si>
    <t>37-112-810</t>
  </si>
  <si>
    <t>แปรงถ่าน NKT CB-203 (MAKITA)</t>
  </si>
  <si>
    <t>37-112-812</t>
  </si>
  <si>
    <t>แปรงถ่าน NKT CB-204 OTTO CUT-99 (MAKITA)</t>
  </si>
  <si>
    <t>37-113-411</t>
  </si>
  <si>
    <t>แปรงถ่าน NKT 06-027 (BOSCH)</t>
  </si>
  <si>
    <t>37-112-712</t>
  </si>
  <si>
    <t>แปรงถ่าน NKT CB-153 (MAKITA)</t>
  </si>
  <si>
    <t>37-122-112</t>
  </si>
  <si>
    <t>แปรงถ่าน NKT : CB-85A (MAKITA)</t>
  </si>
  <si>
    <t>37-113-511</t>
  </si>
  <si>
    <t>แปรงถ่าน NKT 06-025 (BOSCH)</t>
  </si>
  <si>
    <t>D</t>
  </si>
  <si>
    <t>37-112-065</t>
  </si>
  <si>
    <t>แปรงถ่าน NKT 99-044 (HITACHI)</t>
  </si>
  <si>
    <t>37-210-607</t>
  </si>
  <si>
    <t>ลูกปืนUDE#607-2RS ปิดยาง2ข้าง</t>
  </si>
  <si>
    <t>37-211-331</t>
  </si>
  <si>
    <t>ลูกปืนUDE#6202-2RS ปิดยาง2ข้าง</t>
  </si>
  <si>
    <t>37-113-931</t>
  </si>
  <si>
    <t>แปรงถ่าน NKT 06-525 (BOSCH)</t>
  </si>
  <si>
    <t>37-211-231</t>
  </si>
  <si>
    <t>ลูกปืนUDE#6201-2RS ปิดยาง2ข้าง</t>
  </si>
  <si>
    <t>37-112-110</t>
  </si>
  <si>
    <t>แปรงถ่าน NKT 99-021 (HITACHI)</t>
  </si>
  <si>
    <t>37-112-411</t>
  </si>
  <si>
    <t>แปรงถ่าน NKT CB-064 (MAKITA)</t>
  </si>
  <si>
    <t>37-112-511</t>
  </si>
  <si>
    <t>แปรงถ่าน NKT CB-100 (MAKITA)</t>
  </si>
  <si>
    <t>37-112-822</t>
  </si>
  <si>
    <t>แปรงถ่าน NKT CB-303A(MAKITA)แบบมีปีก</t>
  </si>
  <si>
    <t>37-112-841</t>
  </si>
  <si>
    <t>แปรงถ่าน NKT CB-326(CB-325)(MAKITA)</t>
  </si>
  <si>
    <t>37-113-804</t>
  </si>
  <si>
    <t>แปรงถ่าน NKT 06-804 (BOSCH)</t>
  </si>
  <si>
    <t>37-112-911</t>
  </si>
  <si>
    <t>แปรงถ่าน NKT CB-408 (MAKITA)</t>
  </si>
  <si>
    <t>37-112-914</t>
  </si>
  <si>
    <t>แปรงถ่าน NKT CB-459 (MAKITA)</t>
  </si>
  <si>
    <t>37-113-211</t>
  </si>
  <si>
    <t>แปรงถ่าน NKT 06-020 (BOSCH)</t>
  </si>
  <si>
    <t>37-211-111</t>
  </si>
  <si>
    <t>ลูกปืนUDE#6000-2RS ปิดยาง2ข้าง</t>
  </si>
  <si>
    <t>37-210-629</t>
  </si>
  <si>
    <t>ลูกปืนUDE#629-2RS ปิดยาง2ข้าง</t>
  </si>
  <si>
    <t>37-112-050</t>
  </si>
  <si>
    <t>แปรงถ่าน NKT 99-038 (HITACHI)</t>
  </si>
  <si>
    <t>37-112-055</t>
  </si>
  <si>
    <t>แปรงถ่าน NKT 99-041 (HITACHI)</t>
  </si>
  <si>
    <t>37-112-060</t>
  </si>
  <si>
    <t>แปรงถ่าน NKT 99-043 (HITACHI)</t>
  </si>
  <si>
    <t>37-112-111</t>
  </si>
  <si>
    <t>แปรงถ่าน NKT CB-010 (MAKITA)</t>
  </si>
  <si>
    <t>37-112-121</t>
  </si>
  <si>
    <t>แปรงถ่าน NKT CB-419 (MAKITA)</t>
  </si>
  <si>
    <t>37-112-150</t>
  </si>
  <si>
    <t>แปรงถ่าน NKT CB-051 (MAKITA)</t>
  </si>
  <si>
    <t>37-112-421</t>
  </si>
  <si>
    <t>แปรงถ่าน NKT CB-072 (MAKITA)</t>
  </si>
  <si>
    <t>37-112-612</t>
  </si>
  <si>
    <t>แปรงถ่าน NKT CB-105 (MAKITA)</t>
  </si>
  <si>
    <t>37-112-831</t>
  </si>
  <si>
    <t>แปรงถ่าน NKT CB-251/CB-250 (MAKITA)</t>
  </si>
  <si>
    <t>37-113-311</t>
  </si>
  <si>
    <t>แปรงถ่าน NKT 06-021 (BOSCH)</t>
  </si>
  <si>
    <t>37-113-431</t>
  </si>
  <si>
    <t>แปรงถ่าน NKT 06-203 (BOSCH)</t>
  </si>
  <si>
    <t>37-113-911</t>
  </si>
  <si>
    <t>แปรงถ่าน NKT 06-127 (BOSCH)</t>
  </si>
  <si>
    <t>37-113-921</t>
  </si>
  <si>
    <t>แปรงถ่าน NKT 06-317 (BOSCH)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</si>
  <si>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</si>
  <si>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</si>
  <si>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</si>
  <si>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</si>
  <si>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</si>
  <si>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</si>
  <si>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</si>
  <si>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</si>
  <si>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</si>
  <si>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</si>
  <si>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37-211-131</t>
  </si>
  <si>
    <t>ลูกปืนUDE#6200-2RS ปิดยาง2ข้าง</t>
  </si>
  <si>
    <t>37-211-339</t>
  </si>
  <si>
    <t>ลูกปืนUDE#6301-2RS ปิดยาง2ข้าง</t>
  </si>
  <si>
    <t>37-212-204</t>
  </si>
  <si>
    <t>ลูกปืนUDE#6204-ZZ ปิดเหล็ก2ข้าง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</si>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</sst>
</file>

<file path=xl/styles.xml><?xml version="1.0" encoding="utf-8"?>
<styleSheet xmlns="http://schemas.openxmlformats.org/spreadsheetml/2006/main" xml:space="preserve">
  <numFmts count="1">
    <numFmt numFmtId="164" formatCode="#,##0.0"/>
  </numFmts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a1118"/>
      <name val="Calibri"/>
    </font>
    <font>
      <b val="0"/>
      <i val="0"/>
      <strike val="0"/>
      <u val="none"/>
      <sz val="8"/>
      <color rgb="ff967102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1e7dd"/>
        <bgColor rgb="FF000000"/>
      </patternFill>
    </fill>
    <fill>
      <patternFill patternType="solid">
        <fgColor rgb="fff8d7da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1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center" vertical="center" textRotation="0" wrapText="false" shrinkToFit="false"/>
    </xf>
    <xf xfId="0" fontId="2" numFmtId="10" fillId="2" borderId="0" applyFont="1" applyNumberFormat="1" applyFill="1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center" vertical="center" textRotation="0" wrapText="false" shrinkToFit="false"/>
    </xf>
    <xf xfId="0" fontId="3" numFmtId="164" fillId="3" borderId="0" applyFont="1" applyNumberFormat="1" applyFill="1" applyBorder="0" applyAlignment="1">
      <alignment horizontal="center" vertical="center" textRotation="0" wrapText="false" shrinkToFit="false"/>
    </xf>
    <xf xfId="0" fontId="5" numFmtId="164" fillId="4" borderId="0" applyFont="1" applyNumberFormat="1" applyFill="1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right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47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47" sqref="AW47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200.0</v>
      </c>
      <c r="F3" s="5">
        <v>6686.6</v>
      </c>
      <c r="G3" s="4">
        <v>400.0</v>
      </c>
      <c r="H3" s="5">
        <v>15152.5</v>
      </c>
      <c r="I3" s="4">
        <v>100.0</v>
      </c>
      <c r="J3" s="5">
        <v>3788.1</v>
      </c>
      <c r="K3" s="4">
        <v>122.181808</v>
      </c>
      <c r="L3" s="5">
        <v>4628.369069</v>
      </c>
      <c r="M3" s="6">
        <v>0.18154755084325</v>
      </c>
      <c r="N3" s="4">
        <v>425.0</v>
      </c>
      <c r="O3" s="4">
        <v>38.636363</v>
      </c>
      <c r="P3" s="4">
        <v>96.0</v>
      </c>
      <c r="Q3" s="4">
        <v>8.727272</v>
      </c>
      <c r="R3" s="7">
        <v>0</v>
      </c>
      <c r="S3" s="7">
        <v>0</v>
      </c>
      <c r="T3" s="4">
        <v>8.0</v>
      </c>
      <c r="U3" s="8" t="s">
        <v>46</v>
      </c>
      <c r="V3" s="5">
        <v>15046.38</v>
      </c>
      <c r="W3" s="5">
        <v>35.403247058824</v>
      </c>
      <c r="X3" s="5">
        <v>17021.499</v>
      </c>
      <c r="Y3" s="5">
        <v>40.050585882353</v>
      </c>
      <c r="Z3" s="5">
        <v>1975.119</v>
      </c>
      <c r="AA3" s="5">
        <v>4.6473388235294</v>
      </c>
      <c r="AB3" s="9">
        <v>0.11603672508514</v>
      </c>
      <c r="AC3" s="4">
        <v>425.0</v>
      </c>
      <c r="AD3" s="7">
        <v>0</v>
      </c>
      <c r="AE3" s="7">
        <v>0</v>
      </c>
      <c r="AF3" s="7">
        <v>0</v>
      </c>
      <c r="AG3" s="3">
        <v>0</v>
      </c>
      <c r="AH3" s="7">
        <v>0</v>
      </c>
      <c r="AI3" s="7">
        <v>0</v>
      </c>
      <c r="AJ3" s="5">
        <v>3398.68</v>
      </c>
      <c r="AK3" s="5">
        <v>35.402916666667</v>
      </c>
      <c r="AL3" s="5">
        <v>5457.91</v>
      </c>
      <c r="AM3" s="5">
        <v>56.853229166667</v>
      </c>
      <c r="AN3" s="5">
        <v>2059.23</v>
      </c>
      <c r="AO3" s="5">
        <v>21.4503125</v>
      </c>
      <c r="AP3" s="10">
        <v>0.37729277324104</v>
      </c>
      <c r="AQ3" s="4">
        <v>96.0</v>
      </c>
      <c r="AR3" s="7">
        <v>0</v>
      </c>
      <c r="AS3" s="7">
        <v>0</v>
      </c>
      <c r="AT3" s="7">
        <v>0</v>
      </c>
      <c r="AU3" s="3">
        <v>0</v>
      </c>
      <c r="AV3" s="7">
        <v>0</v>
      </c>
      <c r="AW3" s="7">
        <v>0</v>
      </c>
    </row>
    <row r="4" spans="1:49">
      <c r="A4" s="3">
        <v>2</v>
      </c>
      <c r="B4" s="3" t="s">
        <v>47</v>
      </c>
      <c r="C4" t="s">
        <v>48</v>
      </c>
      <c r="D4" s="3" t="s">
        <v>45</v>
      </c>
      <c r="E4" s="4">
        <v>200.0</v>
      </c>
      <c r="F4" s="5">
        <v>10028.8</v>
      </c>
      <c r="G4" s="4">
        <v>200.0</v>
      </c>
      <c r="H4" s="5">
        <v>11362.2</v>
      </c>
      <c r="I4" s="7">
        <v>0</v>
      </c>
      <c r="J4" s="7">
        <v>0</v>
      </c>
      <c r="K4" s="4">
        <v>113.272726</v>
      </c>
      <c r="L4" s="5">
        <v>6435.136837</v>
      </c>
      <c r="M4" s="6">
        <v>1.0</v>
      </c>
      <c r="N4" s="4">
        <v>191.0</v>
      </c>
      <c r="O4" s="4">
        <v>17.272727</v>
      </c>
      <c r="P4" s="4">
        <v>89.0</v>
      </c>
      <c r="Q4" s="4">
        <v>8.090909</v>
      </c>
      <c r="R4" s="7">
        <v>0</v>
      </c>
      <c r="S4" s="7">
        <v>0</v>
      </c>
      <c r="T4" s="4">
        <v>7.416666</v>
      </c>
      <c r="U4" s="8" t="s">
        <v>46</v>
      </c>
      <c r="V4" s="5">
        <v>10140.91</v>
      </c>
      <c r="W4" s="5">
        <v>53.093769633508</v>
      </c>
      <c r="X4" s="5">
        <v>12028.031</v>
      </c>
      <c r="Y4" s="5">
        <v>62.973984293194</v>
      </c>
      <c r="Z4" s="5">
        <v>1887.121</v>
      </c>
      <c r="AA4" s="5">
        <v>9.8802146596859</v>
      </c>
      <c r="AB4" s="9">
        <v>0.15689359297461</v>
      </c>
      <c r="AC4" s="4">
        <v>191.0</v>
      </c>
      <c r="AD4" s="7">
        <v>0</v>
      </c>
      <c r="AE4" s="7">
        <v>0</v>
      </c>
      <c r="AF4" s="7">
        <v>0</v>
      </c>
      <c r="AG4" s="3">
        <v>0</v>
      </c>
      <c r="AH4" s="7">
        <v>0</v>
      </c>
      <c r="AI4" s="7">
        <v>0</v>
      </c>
      <c r="AJ4" s="5">
        <v>4653.32</v>
      </c>
      <c r="AK4" s="5">
        <v>52.284494382022</v>
      </c>
      <c r="AL4" s="5">
        <v>4504.666</v>
      </c>
      <c r="AM4" s="5">
        <v>50.614224719101</v>
      </c>
      <c r="AN4" s="5">
        <v>-148.654</v>
      </c>
      <c r="AO4" s="5">
        <v>-1.6702696629213</v>
      </c>
      <c r="AP4" s="11">
        <v>-0.033000004883825</v>
      </c>
      <c r="AQ4" s="4">
        <v>89.0</v>
      </c>
      <c r="AR4" s="7">
        <v>0</v>
      </c>
      <c r="AS4" s="7">
        <v>0</v>
      </c>
      <c r="AT4" s="7">
        <v>0</v>
      </c>
      <c r="AU4" s="3">
        <v>0</v>
      </c>
      <c r="AV4" s="7">
        <v>0</v>
      </c>
      <c r="AW4" s="7">
        <v>0</v>
      </c>
    </row>
    <row r="5" spans="1:49">
      <c r="A5" s="3">
        <v>3</v>
      </c>
      <c r="B5" s="3" t="s">
        <v>49</v>
      </c>
      <c r="C5" t="s">
        <v>50</v>
      </c>
      <c r="D5" s="3" t="s">
        <v>45</v>
      </c>
      <c r="E5" s="4">
        <v>100.0</v>
      </c>
      <c r="F5" s="5">
        <v>8049.9</v>
      </c>
      <c r="G5" s="4">
        <v>100.0</v>
      </c>
      <c r="H5" s="5">
        <v>10520.9</v>
      </c>
      <c r="I5" s="7">
        <v>0</v>
      </c>
      <c r="J5" s="7">
        <v>0</v>
      </c>
      <c r="K5" s="4">
        <v>76.36363</v>
      </c>
      <c r="L5" s="5">
        <v>8034.141149</v>
      </c>
      <c r="M5" s="6">
        <v>1.0</v>
      </c>
      <c r="N5" s="4">
        <v>60.0</v>
      </c>
      <c r="O5" s="4">
        <v>5.454545</v>
      </c>
      <c r="P5" s="4">
        <v>60.0</v>
      </c>
      <c r="Q5" s="4">
        <v>5.454545</v>
      </c>
      <c r="R5" s="4">
        <v>40.0</v>
      </c>
      <c r="S5" s="5">
        <v>4208.36</v>
      </c>
      <c r="T5" s="4">
        <v>5.0</v>
      </c>
      <c r="U5" s="12">
        <v>8.0</v>
      </c>
      <c r="V5" s="5">
        <v>4514.0</v>
      </c>
      <c r="W5" s="5">
        <v>75.233333333333</v>
      </c>
      <c r="X5" s="5">
        <v>8074.74</v>
      </c>
      <c r="Y5" s="5">
        <v>134.579</v>
      </c>
      <c r="Z5" s="5">
        <v>3560.74</v>
      </c>
      <c r="AA5" s="5">
        <v>59.345666666667</v>
      </c>
      <c r="AB5" s="10">
        <v>0.44097271243408</v>
      </c>
      <c r="AC5" s="4">
        <v>60.0</v>
      </c>
      <c r="AD5" s="7">
        <v>0</v>
      </c>
      <c r="AE5" s="7">
        <v>0</v>
      </c>
      <c r="AF5" s="7">
        <v>0</v>
      </c>
      <c r="AG5" s="3">
        <v>0</v>
      </c>
      <c r="AH5" s="7">
        <v>0</v>
      </c>
      <c r="AI5" s="7">
        <v>0</v>
      </c>
      <c r="AJ5" s="5">
        <v>6026.34</v>
      </c>
      <c r="AK5" s="5">
        <v>100.439</v>
      </c>
      <c r="AL5" s="5">
        <v>8074.74</v>
      </c>
      <c r="AM5" s="5">
        <v>134.579</v>
      </c>
      <c r="AN5" s="5">
        <v>2048.4</v>
      </c>
      <c r="AO5" s="5">
        <v>34.14</v>
      </c>
      <c r="AP5" s="10">
        <v>0.25367999464998</v>
      </c>
      <c r="AQ5" s="4">
        <v>60.0</v>
      </c>
      <c r="AR5" s="7">
        <v>0</v>
      </c>
      <c r="AS5" s="7">
        <v>0</v>
      </c>
      <c r="AT5" s="7">
        <v>0</v>
      </c>
      <c r="AU5" s="3">
        <v>0</v>
      </c>
      <c r="AV5" s="7">
        <v>0</v>
      </c>
      <c r="AW5" s="7">
        <v>0</v>
      </c>
    </row>
    <row r="6" spans="1:49">
      <c r="A6" s="3">
        <v>4</v>
      </c>
      <c r="B6" s="3" t="s">
        <v>51</v>
      </c>
      <c r="C6" t="s">
        <v>52</v>
      </c>
      <c r="D6" s="3" t="s">
        <v>45</v>
      </c>
      <c r="E6" s="4">
        <v>300.0</v>
      </c>
      <c r="F6" s="5">
        <v>10474.7</v>
      </c>
      <c r="G6" s="4">
        <v>200.0</v>
      </c>
      <c r="H6" s="5">
        <v>7576.3</v>
      </c>
      <c r="I6" s="4">
        <v>100.0</v>
      </c>
      <c r="J6" s="5">
        <v>3788.1</v>
      </c>
      <c r="K6" s="4">
        <v>124.72726</v>
      </c>
      <c r="L6" s="5">
        <v>4724.793336</v>
      </c>
      <c r="M6" s="6">
        <v>0.19825064705182</v>
      </c>
      <c r="N6" s="4">
        <v>291.0</v>
      </c>
      <c r="O6" s="4">
        <v>26.454545</v>
      </c>
      <c r="P6" s="4">
        <v>98.0</v>
      </c>
      <c r="Q6" s="4">
        <v>8.90909</v>
      </c>
      <c r="R6" s="7">
        <v>0</v>
      </c>
      <c r="S6" s="7">
        <v>0</v>
      </c>
      <c r="T6" s="4">
        <v>8.166666</v>
      </c>
      <c r="U6" s="8" t="s">
        <v>46</v>
      </c>
      <c r="V6" s="5">
        <v>10302.43</v>
      </c>
      <c r="W6" s="5">
        <v>35.4035395189</v>
      </c>
      <c r="X6" s="5">
        <v>11398.138</v>
      </c>
      <c r="Y6" s="5">
        <v>39.168859106529</v>
      </c>
      <c r="Z6" s="5">
        <v>1095.708</v>
      </c>
      <c r="AA6" s="5">
        <v>3.7653195876289</v>
      </c>
      <c r="AB6" s="9">
        <v>0.096130438147003</v>
      </c>
      <c r="AC6" s="4">
        <v>291.0</v>
      </c>
      <c r="AD6" s="7">
        <v>0</v>
      </c>
      <c r="AE6" s="7">
        <v>0</v>
      </c>
      <c r="AF6" s="7">
        <v>0</v>
      </c>
      <c r="AG6" s="3">
        <v>0</v>
      </c>
      <c r="AH6" s="7">
        <v>0</v>
      </c>
      <c r="AI6" s="7">
        <v>0</v>
      </c>
      <c r="AJ6" s="5">
        <v>3469.49</v>
      </c>
      <c r="AK6" s="5">
        <v>35.402959183673</v>
      </c>
      <c r="AL6" s="5">
        <v>4402.017</v>
      </c>
      <c r="AM6" s="5">
        <v>44.918540816327</v>
      </c>
      <c r="AN6" s="5">
        <v>932.527</v>
      </c>
      <c r="AO6" s="5">
        <v>9.5155816326531</v>
      </c>
      <c r="AP6" s="9">
        <v>0.21184084477638</v>
      </c>
      <c r="AQ6" s="4">
        <v>98.0</v>
      </c>
      <c r="AR6" s="7">
        <v>0</v>
      </c>
      <c r="AS6" s="7">
        <v>0</v>
      </c>
      <c r="AT6" s="7">
        <v>0</v>
      </c>
      <c r="AU6" s="3">
        <v>0</v>
      </c>
      <c r="AV6" s="7">
        <v>0</v>
      </c>
      <c r="AW6" s="7">
        <v>0</v>
      </c>
    </row>
    <row r="7" spans="1:49">
      <c r="A7" s="3">
        <v>5</v>
      </c>
      <c r="B7" s="3" t="s">
        <v>53</v>
      </c>
      <c r="C7" t="s">
        <v>54</v>
      </c>
      <c r="D7" s="3" t="s">
        <v>45</v>
      </c>
      <c r="E7" s="4">
        <v>300.0</v>
      </c>
      <c r="F7" s="5">
        <v>9585.1</v>
      </c>
      <c r="G7" s="4">
        <v>200.0</v>
      </c>
      <c r="H7" s="5">
        <v>7576.2</v>
      </c>
      <c r="I7" s="4">
        <v>100.0</v>
      </c>
      <c r="J7" s="5">
        <v>3788.1</v>
      </c>
      <c r="K7" s="4">
        <v>142.545452</v>
      </c>
      <c r="L7" s="5">
        <v>5399.764267</v>
      </c>
      <c r="M7" s="6">
        <v>0.29846937522777</v>
      </c>
      <c r="N7" s="4">
        <v>273.0</v>
      </c>
      <c r="O7" s="4">
        <v>24.818181</v>
      </c>
      <c r="P7" s="4">
        <v>112.0</v>
      </c>
      <c r="Q7" s="4">
        <v>10.181818</v>
      </c>
      <c r="R7" s="7">
        <v>0</v>
      </c>
      <c r="S7" s="7">
        <v>0</v>
      </c>
      <c r="T7" s="4">
        <v>9.333333</v>
      </c>
      <c r="U7" s="8" t="s">
        <v>46</v>
      </c>
      <c r="V7" s="5">
        <v>9665.0</v>
      </c>
      <c r="W7" s="5">
        <v>35.40293040293</v>
      </c>
      <c r="X7" s="5">
        <v>11700.966</v>
      </c>
      <c r="Y7" s="5">
        <v>42.860681318681</v>
      </c>
      <c r="Z7" s="5">
        <v>2035.966</v>
      </c>
      <c r="AA7" s="5">
        <v>7.4577509157509</v>
      </c>
      <c r="AB7" s="9">
        <v>0.17399982189505</v>
      </c>
      <c r="AC7" s="4">
        <v>273.0</v>
      </c>
      <c r="AD7" s="7">
        <v>0</v>
      </c>
      <c r="AE7" s="7">
        <v>0</v>
      </c>
      <c r="AF7" s="7">
        <v>0</v>
      </c>
      <c r="AG7" s="3">
        <v>0</v>
      </c>
      <c r="AH7" s="7">
        <v>0</v>
      </c>
      <c r="AI7" s="7">
        <v>0</v>
      </c>
      <c r="AJ7" s="5">
        <v>3937.81</v>
      </c>
      <c r="AK7" s="5">
        <v>35.159017857143</v>
      </c>
      <c r="AL7" s="5">
        <v>7906.61</v>
      </c>
      <c r="AM7" s="5">
        <v>70.594732142857</v>
      </c>
      <c r="AN7" s="5">
        <v>3968.8</v>
      </c>
      <c r="AO7" s="5">
        <v>35.435714285714</v>
      </c>
      <c r="AP7" s="10">
        <v>0.50195975266265</v>
      </c>
      <c r="AQ7" s="4">
        <v>112.0</v>
      </c>
      <c r="AR7" s="7">
        <v>0</v>
      </c>
      <c r="AS7" s="7">
        <v>0</v>
      </c>
      <c r="AT7" s="7">
        <v>0</v>
      </c>
      <c r="AU7" s="3">
        <v>0</v>
      </c>
      <c r="AV7" s="7">
        <v>0</v>
      </c>
      <c r="AW7" s="7">
        <v>0</v>
      </c>
    </row>
    <row r="8" spans="1:49">
      <c r="A8" s="3">
        <v>6</v>
      </c>
      <c r="B8" s="3" t="s">
        <v>55</v>
      </c>
      <c r="C8" t="s">
        <v>56</v>
      </c>
      <c r="D8" s="3" t="s">
        <v>45</v>
      </c>
      <c r="E8" s="7">
        <v>0</v>
      </c>
      <c r="F8" s="7">
        <v>0</v>
      </c>
      <c r="G8" s="4">
        <v>200.0</v>
      </c>
      <c r="H8" s="5">
        <v>7576.2</v>
      </c>
      <c r="I8" s="4">
        <v>100.0</v>
      </c>
      <c r="J8" s="5">
        <v>3580.0</v>
      </c>
      <c r="K8" s="4">
        <v>143.818178</v>
      </c>
      <c r="L8" s="5">
        <v>5148.690772</v>
      </c>
      <c r="M8" s="6">
        <v>0.30467760480181</v>
      </c>
      <c r="N8" s="4">
        <v>162.0</v>
      </c>
      <c r="O8" s="4">
        <v>14.727272</v>
      </c>
      <c r="P8" s="4">
        <v>113.0</v>
      </c>
      <c r="Q8" s="4">
        <v>10.272727</v>
      </c>
      <c r="R8" s="4">
        <v>20.0</v>
      </c>
      <c r="S8" s="5">
        <v>716.0</v>
      </c>
      <c r="T8" s="4">
        <v>9.416666</v>
      </c>
      <c r="U8" s="13">
        <v>2.1238939556739</v>
      </c>
      <c r="V8" s="5">
        <v>5569.03</v>
      </c>
      <c r="W8" s="5">
        <v>34.376728395062</v>
      </c>
      <c r="X8" s="5">
        <v>8066.376</v>
      </c>
      <c r="Y8" s="5">
        <v>49.792444444444</v>
      </c>
      <c r="Z8" s="5">
        <v>2497.346</v>
      </c>
      <c r="AA8" s="5">
        <v>15.415716049383</v>
      </c>
      <c r="AB8" s="10">
        <v>0.30959950292424</v>
      </c>
      <c r="AC8" s="4">
        <v>162.0</v>
      </c>
      <c r="AD8" s="7">
        <v>0</v>
      </c>
      <c r="AE8" s="7">
        <v>0</v>
      </c>
      <c r="AF8" s="7">
        <v>0</v>
      </c>
      <c r="AG8" s="3">
        <v>0</v>
      </c>
      <c r="AH8" s="7">
        <v>0</v>
      </c>
      <c r="AI8" s="7">
        <v>0</v>
      </c>
      <c r="AJ8" s="5">
        <v>3858.63</v>
      </c>
      <c r="AK8" s="5">
        <v>34.147168141593</v>
      </c>
      <c r="AL8" s="5">
        <v>4934.58</v>
      </c>
      <c r="AM8" s="5">
        <v>43.668849557522</v>
      </c>
      <c r="AN8" s="5">
        <v>1075.95</v>
      </c>
      <c r="AO8" s="5">
        <v>9.5216814159292</v>
      </c>
      <c r="AP8" s="9">
        <v>0.21804287294967</v>
      </c>
      <c r="AQ8" s="4">
        <v>113.0</v>
      </c>
      <c r="AR8" s="7">
        <v>0</v>
      </c>
      <c r="AS8" s="7">
        <v>0</v>
      </c>
      <c r="AT8" s="7">
        <v>0</v>
      </c>
      <c r="AU8" s="3">
        <v>0</v>
      </c>
      <c r="AV8" s="7">
        <v>0</v>
      </c>
      <c r="AW8" s="7">
        <v>0</v>
      </c>
    </row>
    <row r="9" spans="1:49">
      <c r="A9" s="3">
        <v>7</v>
      </c>
      <c r="B9" s="3" t="s">
        <v>57</v>
      </c>
      <c r="C9" t="s">
        <v>58</v>
      </c>
      <c r="D9" s="3" t="s">
        <v>59</v>
      </c>
      <c r="E9" s="7">
        <v>0</v>
      </c>
      <c r="F9" s="7">
        <v>0</v>
      </c>
      <c r="G9" s="4">
        <v>100.0</v>
      </c>
      <c r="H9" s="5">
        <v>6464.8</v>
      </c>
      <c r="I9" s="4">
        <v>100.0</v>
      </c>
      <c r="J9" s="5">
        <v>6464.8</v>
      </c>
      <c r="K9" s="4">
        <v>76.36363</v>
      </c>
      <c r="L9" s="5">
        <v>4936.755952</v>
      </c>
      <c r="M9" s="14">
        <v>-0.3095239186508</v>
      </c>
      <c r="N9" s="4">
        <v>106.0</v>
      </c>
      <c r="O9" s="4">
        <v>9.636363</v>
      </c>
      <c r="P9" s="4">
        <v>60.0</v>
      </c>
      <c r="Q9" s="4">
        <v>5.454545</v>
      </c>
      <c r="R9" s="4">
        <v>50.0</v>
      </c>
      <c r="S9" s="5">
        <v>3232.4</v>
      </c>
      <c r="T9" s="4">
        <v>5.0</v>
      </c>
      <c r="U9" s="12">
        <v>10.0</v>
      </c>
      <c r="V9" s="5">
        <v>6177.57</v>
      </c>
      <c r="W9" s="5">
        <v>58.278962264151</v>
      </c>
      <c r="X9" s="5">
        <v>7587.84</v>
      </c>
      <c r="Y9" s="5">
        <v>71.583396226415</v>
      </c>
      <c r="Z9" s="5">
        <v>1410.27</v>
      </c>
      <c r="AA9" s="5">
        <v>13.304433962264</v>
      </c>
      <c r="AB9" s="9">
        <v>0.18585921685223</v>
      </c>
      <c r="AC9" s="4">
        <v>106.0</v>
      </c>
      <c r="AD9" s="7">
        <v>0</v>
      </c>
      <c r="AE9" s="7">
        <v>0</v>
      </c>
      <c r="AF9" s="7">
        <v>0</v>
      </c>
      <c r="AG9" s="3">
        <v>0</v>
      </c>
      <c r="AH9" s="7">
        <v>0</v>
      </c>
      <c r="AI9" s="7">
        <v>0</v>
      </c>
      <c r="AJ9" s="5">
        <v>3625.13</v>
      </c>
      <c r="AK9" s="5">
        <v>60.418833333333</v>
      </c>
      <c r="AL9" s="5">
        <v>5046.72</v>
      </c>
      <c r="AM9" s="5">
        <v>84.112</v>
      </c>
      <c r="AN9" s="5">
        <v>1421.59</v>
      </c>
      <c r="AO9" s="5">
        <v>23.693166666667</v>
      </c>
      <c r="AP9" s="10">
        <v>0.28168592670091</v>
      </c>
      <c r="AQ9" s="4">
        <v>60.0</v>
      </c>
      <c r="AR9" s="7">
        <v>0</v>
      </c>
      <c r="AS9" s="7">
        <v>0</v>
      </c>
      <c r="AT9" s="7">
        <v>0</v>
      </c>
      <c r="AU9" s="3">
        <v>0</v>
      </c>
      <c r="AV9" s="7">
        <v>0</v>
      </c>
      <c r="AW9" s="7">
        <v>0</v>
      </c>
    </row>
    <row r="10" spans="1:49">
      <c r="A10" s="3">
        <v>8</v>
      </c>
      <c r="B10" s="3" t="s">
        <v>60</v>
      </c>
      <c r="C10" t="s">
        <v>61</v>
      </c>
      <c r="D10" s="3" t="s">
        <v>45</v>
      </c>
      <c r="E10" s="4">
        <v>100.0</v>
      </c>
      <c r="F10" s="5">
        <v>3931.3</v>
      </c>
      <c r="G10" s="4">
        <v>100.0</v>
      </c>
      <c r="H10" s="5">
        <v>5137.1</v>
      </c>
      <c r="I10" s="7">
        <v>0</v>
      </c>
      <c r="J10" s="7">
        <v>0</v>
      </c>
      <c r="K10" s="7">
        <v>0</v>
      </c>
      <c r="L10" s="7">
        <v>0</v>
      </c>
      <c r="M10" s="15">
        <v>0</v>
      </c>
      <c r="N10" s="4">
        <v>100.0</v>
      </c>
      <c r="O10" s="4">
        <v>9.090909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8" t="s">
        <v>46</v>
      </c>
      <c r="V10" s="5">
        <v>4800.99</v>
      </c>
      <c r="W10" s="5">
        <v>48.0099</v>
      </c>
      <c r="X10" s="5">
        <v>5644.87</v>
      </c>
      <c r="Y10" s="5">
        <v>56.4487</v>
      </c>
      <c r="Z10" s="5">
        <v>843.88</v>
      </c>
      <c r="AA10" s="5">
        <v>8.4388</v>
      </c>
      <c r="AB10" s="9">
        <v>0.14949502822917</v>
      </c>
      <c r="AC10" s="4">
        <v>100.0</v>
      </c>
      <c r="AD10" s="7">
        <v>0</v>
      </c>
      <c r="AE10" s="7">
        <v>0</v>
      </c>
      <c r="AF10" s="7">
        <v>0</v>
      </c>
      <c r="AG10" s="3">
        <v>0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0</v>
      </c>
      <c r="AN10" s="7">
        <v>0</v>
      </c>
      <c r="AO10" s="7">
        <v>0</v>
      </c>
      <c r="AP10" s="3">
        <v>0</v>
      </c>
      <c r="AQ10" s="7">
        <v>0</v>
      </c>
      <c r="AR10" s="7">
        <v>0</v>
      </c>
      <c r="AS10" s="7">
        <v>0</v>
      </c>
      <c r="AT10" s="7">
        <v>0</v>
      </c>
      <c r="AU10" s="3">
        <v>0</v>
      </c>
      <c r="AV10" s="7">
        <v>0</v>
      </c>
      <c r="AW10" s="7">
        <v>0</v>
      </c>
    </row>
    <row r="11" spans="1:49">
      <c r="A11" s="3">
        <v>9</v>
      </c>
      <c r="B11" s="3" t="s">
        <v>62</v>
      </c>
      <c r="C11" t="s">
        <v>63</v>
      </c>
      <c r="D11" s="3" t="s">
        <v>45</v>
      </c>
      <c r="E11" s="4">
        <v>300.0</v>
      </c>
      <c r="F11" s="5">
        <v>6797.9</v>
      </c>
      <c r="G11" s="4">
        <v>200.0</v>
      </c>
      <c r="H11" s="5">
        <v>4873.7</v>
      </c>
      <c r="I11" s="7">
        <v>0</v>
      </c>
      <c r="J11" s="7">
        <v>0</v>
      </c>
      <c r="K11" s="4">
        <v>112.0</v>
      </c>
      <c r="L11" s="5">
        <v>2729.44</v>
      </c>
      <c r="M11" s="6">
        <v>1.0</v>
      </c>
      <c r="N11" s="4">
        <v>139.0</v>
      </c>
      <c r="O11" s="4">
        <v>12.636363</v>
      </c>
      <c r="P11" s="4">
        <v>89.0</v>
      </c>
      <c r="Q11" s="4">
        <v>8.0</v>
      </c>
      <c r="R11" s="4">
        <v>8.0</v>
      </c>
      <c r="S11" s="5">
        <v>194.96</v>
      </c>
      <c r="T11" s="4">
        <v>7.416666</v>
      </c>
      <c r="U11" s="13">
        <v>1.0786517823507</v>
      </c>
      <c r="V11" s="5">
        <v>3165.612</v>
      </c>
      <c r="W11" s="5">
        <v>22.77418705036</v>
      </c>
      <c r="X11" s="5">
        <v>3584.079</v>
      </c>
      <c r="Y11" s="5">
        <v>25.784741007194</v>
      </c>
      <c r="Z11" s="5">
        <v>418.467</v>
      </c>
      <c r="AA11" s="5">
        <v>3.0105539568345</v>
      </c>
      <c r="AB11" s="9">
        <v>0.11675719201502</v>
      </c>
      <c r="AC11" s="4">
        <v>139.0</v>
      </c>
      <c r="AD11" s="7">
        <v>0</v>
      </c>
      <c r="AE11" s="7">
        <v>0</v>
      </c>
      <c r="AF11" s="7">
        <v>0</v>
      </c>
      <c r="AG11" s="3">
        <v>0</v>
      </c>
      <c r="AH11" s="7">
        <v>0</v>
      </c>
      <c r="AI11" s="7">
        <v>0</v>
      </c>
      <c r="AJ11" s="5">
        <v>2023.328</v>
      </c>
      <c r="AK11" s="5">
        <v>22.73402247191</v>
      </c>
      <c r="AL11" s="5">
        <v>2272.134</v>
      </c>
      <c r="AM11" s="5">
        <v>25.529595505618</v>
      </c>
      <c r="AN11" s="5">
        <v>248.806</v>
      </c>
      <c r="AO11" s="5">
        <v>2.7955730337079</v>
      </c>
      <c r="AP11" s="9">
        <v>0.10950322472178</v>
      </c>
      <c r="AQ11" s="4">
        <v>89.0</v>
      </c>
      <c r="AR11" s="7">
        <v>0</v>
      </c>
      <c r="AS11" s="7">
        <v>0</v>
      </c>
      <c r="AT11" s="7">
        <v>0</v>
      </c>
      <c r="AU11" s="3">
        <v>0</v>
      </c>
      <c r="AV11" s="7">
        <v>0</v>
      </c>
      <c r="AW11" s="7">
        <v>0</v>
      </c>
    </row>
    <row r="12" spans="1:49">
      <c r="A12" s="3">
        <v>10</v>
      </c>
      <c r="B12" s="3" t="s">
        <v>64</v>
      </c>
      <c r="C12" t="s">
        <v>65</v>
      </c>
      <c r="D12" s="3" t="s">
        <v>45</v>
      </c>
      <c r="E12" s="4">
        <v>200.0</v>
      </c>
      <c r="F12" s="5">
        <v>7753.1</v>
      </c>
      <c r="G12" s="4">
        <v>100.0</v>
      </c>
      <c r="H12" s="5">
        <v>4332.0</v>
      </c>
      <c r="I12" s="4">
        <v>100.0</v>
      </c>
      <c r="J12" s="5">
        <v>4332.0</v>
      </c>
      <c r="K12" s="4">
        <v>20.36363</v>
      </c>
      <c r="L12" s="5">
        <v>882.152452</v>
      </c>
      <c r="M12" s="14">
        <v>-3.910715820313</v>
      </c>
      <c r="N12" s="4">
        <v>179.0</v>
      </c>
      <c r="O12" s="4">
        <v>16.272727</v>
      </c>
      <c r="P12" s="4">
        <v>16.0</v>
      </c>
      <c r="Q12" s="4">
        <v>1.454545</v>
      </c>
      <c r="R12" s="4">
        <v>90.0</v>
      </c>
      <c r="S12" s="5">
        <v>3898.8</v>
      </c>
      <c r="T12" s="4">
        <v>1.333333</v>
      </c>
      <c r="U12" s="12">
        <v>67.500016875004</v>
      </c>
      <c r="V12" s="5">
        <v>7247.08</v>
      </c>
      <c r="W12" s="5">
        <v>40.486480446927</v>
      </c>
      <c r="X12" s="5">
        <v>8017.92</v>
      </c>
      <c r="Y12" s="5">
        <v>44.792849162011</v>
      </c>
      <c r="Z12" s="5">
        <v>770.84</v>
      </c>
      <c r="AA12" s="5">
        <v>4.3063687150838</v>
      </c>
      <c r="AB12" s="9">
        <v>0.096139647190294</v>
      </c>
      <c r="AC12" s="4">
        <v>179.0</v>
      </c>
      <c r="AD12" s="7">
        <v>0</v>
      </c>
      <c r="AE12" s="7">
        <v>0</v>
      </c>
      <c r="AF12" s="7">
        <v>0</v>
      </c>
      <c r="AG12" s="3">
        <v>0</v>
      </c>
      <c r="AH12" s="7">
        <v>0</v>
      </c>
      <c r="AI12" s="7">
        <v>0</v>
      </c>
      <c r="AJ12" s="5">
        <v>726.61</v>
      </c>
      <c r="AK12" s="5">
        <v>45.413125</v>
      </c>
      <c r="AL12" s="5">
        <v>852.336</v>
      </c>
      <c r="AM12" s="5">
        <v>53.271</v>
      </c>
      <c r="AN12" s="5">
        <v>125.726</v>
      </c>
      <c r="AO12" s="5">
        <v>7.857875</v>
      </c>
      <c r="AP12" s="9">
        <v>0.14750755570573</v>
      </c>
      <c r="AQ12" s="4">
        <v>16.0</v>
      </c>
      <c r="AR12" s="7">
        <v>0</v>
      </c>
      <c r="AS12" s="7">
        <v>0</v>
      </c>
      <c r="AT12" s="7">
        <v>0</v>
      </c>
      <c r="AU12" s="3">
        <v>0</v>
      </c>
      <c r="AV12" s="7">
        <v>0</v>
      </c>
      <c r="AW12" s="7">
        <v>0</v>
      </c>
    </row>
    <row r="13" spans="1:49">
      <c r="A13" s="3">
        <v>11</v>
      </c>
      <c r="B13" s="3" t="s">
        <v>66</v>
      </c>
      <c r="C13" t="s">
        <v>67</v>
      </c>
      <c r="D13" s="3" t="s">
        <v>45</v>
      </c>
      <c r="E13" s="4">
        <v>200.0</v>
      </c>
      <c r="F13" s="5">
        <v>7495.5</v>
      </c>
      <c r="G13" s="4">
        <v>100.0</v>
      </c>
      <c r="H13" s="5">
        <v>4246.6</v>
      </c>
      <c r="I13" s="7">
        <v>0</v>
      </c>
      <c r="J13" s="7">
        <v>0</v>
      </c>
      <c r="K13" s="7">
        <v>0</v>
      </c>
      <c r="L13" s="7">
        <v>0</v>
      </c>
      <c r="M13" s="15">
        <v>0</v>
      </c>
      <c r="N13" s="4">
        <v>190.0</v>
      </c>
      <c r="O13" s="4">
        <v>17.272727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8" t="s">
        <v>46</v>
      </c>
      <c r="V13" s="5">
        <v>7540.6</v>
      </c>
      <c r="W13" s="5">
        <v>39.687368421053</v>
      </c>
      <c r="X13" s="5">
        <v>8310.3</v>
      </c>
      <c r="Y13" s="5">
        <v>43.738421052632</v>
      </c>
      <c r="Z13" s="5">
        <v>769.7</v>
      </c>
      <c r="AA13" s="5">
        <v>4.0510526315789</v>
      </c>
      <c r="AB13" s="9">
        <v>0.092620001684656</v>
      </c>
      <c r="AC13" s="4">
        <v>190.0</v>
      </c>
      <c r="AD13" s="7">
        <v>0</v>
      </c>
      <c r="AE13" s="7">
        <v>0</v>
      </c>
      <c r="AF13" s="7">
        <v>0</v>
      </c>
      <c r="AG13" s="3">
        <v>0</v>
      </c>
      <c r="AH13" s="7">
        <v>0</v>
      </c>
      <c r="AI13" s="7">
        <v>0</v>
      </c>
      <c r="AJ13" s="7">
        <v>0</v>
      </c>
      <c r="AK13" s="7">
        <v>0</v>
      </c>
      <c r="AL13" s="7">
        <v>0</v>
      </c>
      <c r="AM13" s="7">
        <v>0</v>
      </c>
      <c r="AN13" s="7">
        <v>0</v>
      </c>
      <c r="AO13" s="7">
        <v>0</v>
      </c>
      <c r="AP13" s="3">
        <v>0</v>
      </c>
      <c r="AQ13" s="7">
        <v>0</v>
      </c>
      <c r="AR13" s="7">
        <v>0</v>
      </c>
      <c r="AS13" s="7">
        <v>0</v>
      </c>
      <c r="AT13" s="7">
        <v>0</v>
      </c>
      <c r="AU13" s="3">
        <v>0</v>
      </c>
      <c r="AV13" s="7">
        <v>0</v>
      </c>
      <c r="AW13" s="7">
        <v>0</v>
      </c>
    </row>
    <row r="14" spans="1:49">
      <c r="A14" s="3">
        <v>12</v>
      </c>
      <c r="B14" s="3" t="s">
        <v>68</v>
      </c>
      <c r="C14" t="s">
        <v>69</v>
      </c>
      <c r="D14" s="3" t="s">
        <v>45</v>
      </c>
      <c r="E14" s="4">
        <v>200.0</v>
      </c>
      <c r="F14" s="5">
        <v>7586.0</v>
      </c>
      <c r="G14" s="4">
        <v>100.0</v>
      </c>
      <c r="H14" s="5">
        <v>3792.9</v>
      </c>
      <c r="I14" s="4">
        <v>100.0</v>
      </c>
      <c r="J14" s="5">
        <v>3793.0</v>
      </c>
      <c r="K14" s="4">
        <v>76.36363</v>
      </c>
      <c r="L14" s="5">
        <v>2896.472486</v>
      </c>
      <c r="M14" s="14">
        <v>-0.3095239186508</v>
      </c>
      <c r="N14" s="4">
        <v>194.0</v>
      </c>
      <c r="O14" s="4">
        <v>17.636363</v>
      </c>
      <c r="P14" s="4">
        <v>60.0</v>
      </c>
      <c r="Q14" s="4">
        <v>5.454545</v>
      </c>
      <c r="R14" s="4">
        <v>85.0</v>
      </c>
      <c r="S14" s="5">
        <v>3224.05</v>
      </c>
      <c r="T14" s="4">
        <v>5.0</v>
      </c>
      <c r="U14" s="12">
        <v>17.0</v>
      </c>
      <c r="V14" s="5">
        <v>6877.12</v>
      </c>
      <c r="W14" s="5">
        <v>35.449072164948</v>
      </c>
      <c r="X14" s="5">
        <v>7747.118</v>
      </c>
      <c r="Y14" s="5">
        <v>39.933597938144</v>
      </c>
      <c r="Z14" s="5">
        <v>869.998</v>
      </c>
      <c r="AA14" s="5">
        <v>4.4845257731959</v>
      </c>
      <c r="AB14" s="9">
        <v>0.11229956740042</v>
      </c>
      <c r="AC14" s="4">
        <v>194.0</v>
      </c>
      <c r="AD14" s="7">
        <v>0</v>
      </c>
      <c r="AE14" s="7">
        <v>0</v>
      </c>
      <c r="AF14" s="7">
        <v>0</v>
      </c>
      <c r="AG14" s="3">
        <v>0</v>
      </c>
      <c r="AH14" s="7">
        <v>0</v>
      </c>
      <c r="AI14" s="7">
        <v>0</v>
      </c>
      <c r="AJ14" s="5">
        <v>2105.23</v>
      </c>
      <c r="AK14" s="5">
        <v>35.087166666667</v>
      </c>
      <c r="AL14" s="5">
        <v>3925.23</v>
      </c>
      <c r="AM14" s="5">
        <v>65.4205</v>
      </c>
      <c r="AN14" s="5">
        <v>1820.0</v>
      </c>
      <c r="AO14" s="5">
        <v>30.333333333333</v>
      </c>
      <c r="AP14" s="10">
        <v>0.46366709721469</v>
      </c>
      <c r="AQ14" s="4">
        <v>60.0</v>
      </c>
      <c r="AR14" s="7">
        <v>0</v>
      </c>
      <c r="AS14" s="7">
        <v>0</v>
      </c>
      <c r="AT14" s="7">
        <v>0</v>
      </c>
      <c r="AU14" s="3">
        <v>0</v>
      </c>
      <c r="AV14" s="7">
        <v>0</v>
      </c>
      <c r="AW14" s="7">
        <v>0</v>
      </c>
    </row>
    <row r="15" spans="1:49">
      <c r="A15" s="3">
        <v>13</v>
      </c>
      <c r="B15" s="3" t="s">
        <v>70</v>
      </c>
      <c r="C15" t="s">
        <v>71</v>
      </c>
      <c r="D15" s="3" t="s">
        <v>45</v>
      </c>
      <c r="E15" s="4">
        <v>100.0</v>
      </c>
      <c r="F15" s="5">
        <v>3788.2</v>
      </c>
      <c r="G15" s="4">
        <v>100.0</v>
      </c>
      <c r="H15" s="5">
        <v>3788.2</v>
      </c>
      <c r="I15" s="7">
        <v>0</v>
      </c>
      <c r="J15" s="7">
        <v>0</v>
      </c>
      <c r="K15" s="4">
        <v>47.090904</v>
      </c>
      <c r="L15" s="5">
        <v>1783.897625</v>
      </c>
      <c r="M15" s="6">
        <v>1.0</v>
      </c>
      <c r="N15" s="4">
        <v>118.0</v>
      </c>
      <c r="O15" s="4">
        <v>10.727272</v>
      </c>
      <c r="P15" s="4">
        <v>37.0</v>
      </c>
      <c r="Q15" s="4">
        <v>3.363636</v>
      </c>
      <c r="R15" s="7">
        <v>0</v>
      </c>
      <c r="S15" s="7">
        <v>0</v>
      </c>
      <c r="T15" s="4">
        <v>3.083333</v>
      </c>
      <c r="U15" s="8" t="s">
        <v>46</v>
      </c>
      <c r="V15" s="5">
        <v>4177.66</v>
      </c>
      <c r="W15" s="5">
        <v>35.403898305085</v>
      </c>
      <c r="X15" s="5">
        <v>5155.162</v>
      </c>
      <c r="Y15" s="5">
        <v>43.687813559322</v>
      </c>
      <c r="Z15" s="5">
        <v>977.502</v>
      </c>
      <c r="AA15" s="5">
        <v>8.2839152542373</v>
      </c>
      <c r="AB15" s="9">
        <v>0.18961615561257</v>
      </c>
      <c r="AC15" s="4">
        <v>118.0</v>
      </c>
      <c r="AD15" s="7">
        <v>0</v>
      </c>
      <c r="AE15" s="7">
        <v>0</v>
      </c>
      <c r="AF15" s="7">
        <v>0</v>
      </c>
      <c r="AG15" s="3">
        <v>0</v>
      </c>
      <c r="AH15" s="7">
        <v>0</v>
      </c>
      <c r="AI15" s="7">
        <v>0</v>
      </c>
      <c r="AJ15" s="5">
        <v>1182.58</v>
      </c>
      <c r="AK15" s="5">
        <v>31.961621621622</v>
      </c>
      <c r="AL15" s="5">
        <v>1355.21</v>
      </c>
      <c r="AM15" s="5">
        <v>36.627297297297</v>
      </c>
      <c r="AN15" s="5">
        <v>172.63</v>
      </c>
      <c r="AO15" s="5">
        <v>4.6656756756757</v>
      </c>
      <c r="AP15" s="9">
        <v>0.1273824720892</v>
      </c>
      <c r="AQ15" s="4">
        <v>37.0</v>
      </c>
      <c r="AR15" s="7">
        <v>0</v>
      </c>
      <c r="AS15" s="7">
        <v>0</v>
      </c>
      <c r="AT15" s="7">
        <v>0</v>
      </c>
      <c r="AU15" s="3">
        <v>0</v>
      </c>
      <c r="AV15" s="7">
        <v>0</v>
      </c>
      <c r="AW15" s="7">
        <v>0</v>
      </c>
    </row>
    <row r="16" spans="1:49">
      <c r="A16" s="3">
        <v>14</v>
      </c>
      <c r="B16" s="3" t="s">
        <v>72</v>
      </c>
      <c r="C16" t="s">
        <v>73</v>
      </c>
      <c r="D16" s="3" t="s">
        <v>45</v>
      </c>
      <c r="E16" s="4">
        <v>100.0</v>
      </c>
      <c r="F16" s="5">
        <v>3788.1</v>
      </c>
      <c r="G16" s="4">
        <v>100.0</v>
      </c>
      <c r="H16" s="5">
        <v>3788.2</v>
      </c>
      <c r="I16" s="4">
        <v>100.0</v>
      </c>
      <c r="J16" s="5">
        <v>3788.0</v>
      </c>
      <c r="K16" s="4">
        <v>44.545452</v>
      </c>
      <c r="L16" s="5">
        <v>1687.381722</v>
      </c>
      <c r="M16" s="14">
        <v>-1.2448980874636</v>
      </c>
      <c r="N16" s="4">
        <v>120.0</v>
      </c>
      <c r="O16" s="4">
        <v>10.90909</v>
      </c>
      <c r="P16" s="4">
        <v>35.0</v>
      </c>
      <c r="Q16" s="4">
        <v>3.181818</v>
      </c>
      <c r="R16" s="4">
        <v>60.0</v>
      </c>
      <c r="S16" s="5">
        <v>2272.8</v>
      </c>
      <c r="T16" s="4">
        <v>2.916666</v>
      </c>
      <c r="U16" s="12">
        <v>20.57143327347</v>
      </c>
      <c r="V16" s="5">
        <v>4248.46</v>
      </c>
      <c r="W16" s="5">
        <v>35.403833333333</v>
      </c>
      <c r="X16" s="5">
        <v>5008.42</v>
      </c>
      <c r="Y16" s="5">
        <v>41.736833333333</v>
      </c>
      <c r="Z16" s="5">
        <v>759.96</v>
      </c>
      <c r="AA16" s="5">
        <v>6.333</v>
      </c>
      <c r="AB16" s="9">
        <v>0.1517364757748</v>
      </c>
      <c r="AC16" s="4">
        <v>120.0</v>
      </c>
      <c r="AD16" s="7">
        <v>0</v>
      </c>
      <c r="AE16" s="7">
        <v>0</v>
      </c>
      <c r="AF16" s="7">
        <v>0</v>
      </c>
      <c r="AG16" s="3">
        <v>0</v>
      </c>
      <c r="AH16" s="7">
        <v>0</v>
      </c>
      <c r="AI16" s="7">
        <v>0</v>
      </c>
      <c r="AJ16" s="5">
        <v>1239.07</v>
      </c>
      <c r="AK16" s="5">
        <v>35.402</v>
      </c>
      <c r="AL16" s="5">
        <v>2099.25</v>
      </c>
      <c r="AM16" s="5">
        <v>59.978571428571</v>
      </c>
      <c r="AN16" s="5">
        <v>860.18</v>
      </c>
      <c r="AO16" s="5">
        <v>24.576571428571</v>
      </c>
      <c r="AP16" s="10">
        <v>0.40975586518995</v>
      </c>
      <c r="AQ16" s="4">
        <v>35.0</v>
      </c>
      <c r="AR16" s="7">
        <v>0</v>
      </c>
      <c r="AS16" s="7">
        <v>0</v>
      </c>
      <c r="AT16" s="7">
        <v>0</v>
      </c>
      <c r="AU16" s="3">
        <v>0</v>
      </c>
      <c r="AV16" s="7">
        <v>0</v>
      </c>
      <c r="AW16" s="7">
        <v>0</v>
      </c>
    </row>
    <row r="17" spans="1:49">
      <c r="A17" s="3">
        <v>15</v>
      </c>
      <c r="B17" s="3" t="s">
        <v>74</v>
      </c>
      <c r="C17" t="s">
        <v>75</v>
      </c>
      <c r="D17" s="3" t="s">
        <v>45</v>
      </c>
      <c r="E17" s="4">
        <v>100.0</v>
      </c>
      <c r="F17" s="5">
        <v>2898.5</v>
      </c>
      <c r="G17" s="4">
        <v>100.0</v>
      </c>
      <c r="H17" s="5">
        <v>3788.2</v>
      </c>
      <c r="I17" s="4">
        <v>100.0</v>
      </c>
      <c r="J17" s="5">
        <v>3788.1</v>
      </c>
      <c r="K17" s="4">
        <v>76.36363</v>
      </c>
      <c r="L17" s="5">
        <v>2892.730668</v>
      </c>
      <c r="M17" s="14">
        <v>-0.3095239186508</v>
      </c>
      <c r="N17" s="4">
        <v>80.0</v>
      </c>
      <c r="O17" s="4">
        <v>9.090909</v>
      </c>
      <c r="P17" s="4">
        <v>60.0</v>
      </c>
      <c r="Q17" s="4">
        <v>5.454545</v>
      </c>
      <c r="R17" s="4">
        <v>70.0</v>
      </c>
      <c r="S17" s="5">
        <v>2651.67</v>
      </c>
      <c r="T17" s="4">
        <v>5.0</v>
      </c>
      <c r="U17" s="12">
        <v>14.0</v>
      </c>
      <c r="V17" s="5">
        <v>2749.168</v>
      </c>
      <c r="W17" s="5">
        <v>34.3646</v>
      </c>
      <c r="X17" s="5">
        <v>7407.48</v>
      </c>
      <c r="Y17" s="5">
        <v>92.5935</v>
      </c>
      <c r="Z17" s="5">
        <v>4658.312</v>
      </c>
      <c r="AA17" s="5">
        <v>58.2289</v>
      </c>
      <c r="AB17" s="10">
        <v>0.62886595711362</v>
      </c>
      <c r="AC17" s="4">
        <v>80.0</v>
      </c>
      <c r="AD17" s="7">
        <v>0</v>
      </c>
      <c r="AE17" s="7">
        <v>0</v>
      </c>
      <c r="AF17" s="7">
        <v>0</v>
      </c>
      <c r="AG17" s="3">
        <v>0</v>
      </c>
      <c r="AH17" s="7">
        <v>0</v>
      </c>
      <c r="AI17" s="7">
        <v>0</v>
      </c>
      <c r="AJ17" s="5">
        <v>2067.3</v>
      </c>
      <c r="AK17" s="5">
        <v>34.455</v>
      </c>
      <c r="AL17" s="5">
        <v>2691.59</v>
      </c>
      <c r="AM17" s="5">
        <v>44.859833333333</v>
      </c>
      <c r="AN17" s="5">
        <v>624.29</v>
      </c>
      <c r="AO17" s="5">
        <v>10.404833333333</v>
      </c>
      <c r="AP17" s="9">
        <v>0.23194097169331</v>
      </c>
      <c r="AQ17" s="4">
        <v>60.0</v>
      </c>
      <c r="AR17" s="7">
        <v>0</v>
      </c>
      <c r="AS17" s="7">
        <v>0</v>
      </c>
      <c r="AT17" s="7">
        <v>0</v>
      </c>
      <c r="AU17" s="3">
        <v>0</v>
      </c>
      <c r="AV17" s="7">
        <v>0</v>
      </c>
      <c r="AW17" s="7">
        <v>0</v>
      </c>
    </row>
    <row r="18" spans="1:49">
      <c r="A18" s="3">
        <v>16</v>
      </c>
      <c r="B18" s="3" t="s">
        <v>76</v>
      </c>
      <c r="C18" t="s">
        <v>77</v>
      </c>
      <c r="D18" s="3" t="s">
        <v>45</v>
      </c>
      <c r="E18" s="4">
        <v>100.0</v>
      </c>
      <c r="F18" s="5">
        <v>3788.1</v>
      </c>
      <c r="G18" s="4">
        <v>100.0</v>
      </c>
      <c r="H18" s="5">
        <v>3788.2</v>
      </c>
      <c r="I18" s="7">
        <v>0</v>
      </c>
      <c r="J18" s="7">
        <v>0</v>
      </c>
      <c r="K18" s="4">
        <v>53.454534</v>
      </c>
      <c r="L18" s="5">
        <v>1933.610858</v>
      </c>
      <c r="M18" s="6">
        <v>1.0</v>
      </c>
      <c r="N18" s="4">
        <v>132.0</v>
      </c>
      <c r="O18" s="4">
        <v>12.0</v>
      </c>
      <c r="P18" s="4">
        <v>42.0</v>
      </c>
      <c r="Q18" s="4">
        <v>3.818181</v>
      </c>
      <c r="R18" s="7">
        <v>0</v>
      </c>
      <c r="S18" s="7">
        <v>0</v>
      </c>
      <c r="T18" s="4">
        <v>3.5</v>
      </c>
      <c r="U18" s="8" t="s">
        <v>46</v>
      </c>
      <c r="V18" s="5">
        <v>4673.22</v>
      </c>
      <c r="W18" s="5">
        <v>35.403181818182</v>
      </c>
      <c r="X18" s="5">
        <v>6028.99</v>
      </c>
      <c r="Y18" s="5">
        <v>45.674166666667</v>
      </c>
      <c r="Z18" s="5">
        <v>1355.77</v>
      </c>
      <c r="AA18" s="5">
        <v>10.270984848485</v>
      </c>
      <c r="AB18" s="9">
        <v>0.22487514492477</v>
      </c>
      <c r="AC18" s="4">
        <v>132.0</v>
      </c>
      <c r="AD18" s="7">
        <v>0</v>
      </c>
      <c r="AE18" s="7">
        <v>0</v>
      </c>
      <c r="AF18" s="7">
        <v>0</v>
      </c>
      <c r="AG18" s="3">
        <v>0</v>
      </c>
      <c r="AH18" s="7">
        <v>0</v>
      </c>
      <c r="AI18" s="7">
        <v>0</v>
      </c>
      <c r="AJ18" s="5">
        <v>1516.96</v>
      </c>
      <c r="AK18" s="5">
        <v>36.118095238095</v>
      </c>
      <c r="AL18" s="5">
        <v>2915.88</v>
      </c>
      <c r="AM18" s="5">
        <v>69.425714285714</v>
      </c>
      <c r="AN18" s="5">
        <v>1398.92</v>
      </c>
      <c r="AO18" s="5">
        <v>33.307619047619</v>
      </c>
      <c r="AP18" s="10">
        <v>0.47975911217197</v>
      </c>
      <c r="AQ18" s="4">
        <v>42.0</v>
      </c>
      <c r="AR18" s="7">
        <v>0</v>
      </c>
      <c r="AS18" s="7">
        <v>0</v>
      </c>
      <c r="AT18" s="7">
        <v>0</v>
      </c>
      <c r="AU18" s="3">
        <v>0</v>
      </c>
      <c r="AV18" s="7">
        <v>0</v>
      </c>
      <c r="AW18" s="7">
        <v>0</v>
      </c>
    </row>
    <row r="19" spans="1:49">
      <c r="A19" s="3">
        <v>17</v>
      </c>
      <c r="B19" s="3" t="s">
        <v>78</v>
      </c>
      <c r="C19" t="s">
        <v>79</v>
      </c>
      <c r="D19" s="3" t="s">
        <v>45</v>
      </c>
      <c r="E19" s="4">
        <v>100.0</v>
      </c>
      <c r="F19" s="5">
        <v>2898.5</v>
      </c>
      <c r="G19" s="4">
        <v>100.0</v>
      </c>
      <c r="H19" s="5">
        <v>3788.2</v>
      </c>
      <c r="I19" s="4">
        <v>100.0</v>
      </c>
      <c r="J19" s="5">
        <v>3788.0</v>
      </c>
      <c r="K19" s="4">
        <v>114.545452</v>
      </c>
      <c r="L19" s="5">
        <v>4338.981722</v>
      </c>
      <c r="M19" s="6">
        <v>0.12698410758377</v>
      </c>
      <c r="N19" s="4">
        <v>132.0</v>
      </c>
      <c r="O19" s="4">
        <v>12.0</v>
      </c>
      <c r="P19" s="4">
        <v>90.0</v>
      </c>
      <c r="Q19" s="4">
        <v>8.181818</v>
      </c>
      <c r="R19" s="4">
        <v>10.0</v>
      </c>
      <c r="S19" s="5">
        <v>378.8</v>
      </c>
      <c r="T19" s="4">
        <v>7.5</v>
      </c>
      <c r="U19" s="13">
        <v>1.3333333333333</v>
      </c>
      <c r="V19" s="5">
        <v>4257.56</v>
      </c>
      <c r="W19" s="5">
        <v>32.254242424242</v>
      </c>
      <c r="X19" s="5">
        <v>7759.806</v>
      </c>
      <c r="Y19" s="5">
        <v>58.786409090909</v>
      </c>
      <c r="Z19" s="5">
        <v>3502.246</v>
      </c>
      <c r="AA19" s="5">
        <v>26.532166666667</v>
      </c>
      <c r="AB19" s="10">
        <v>0.45133164411585</v>
      </c>
      <c r="AC19" s="4">
        <v>132.0</v>
      </c>
      <c r="AD19" s="7">
        <v>0</v>
      </c>
      <c r="AE19" s="7">
        <v>0</v>
      </c>
      <c r="AF19" s="7">
        <v>0</v>
      </c>
      <c r="AG19" s="3">
        <v>0</v>
      </c>
      <c r="AH19" s="7">
        <v>0</v>
      </c>
      <c r="AI19" s="7">
        <v>0</v>
      </c>
      <c r="AJ19" s="5">
        <v>3186.18</v>
      </c>
      <c r="AK19" s="5">
        <v>35.402</v>
      </c>
      <c r="AL19" s="5">
        <v>6342.04</v>
      </c>
      <c r="AM19" s="5">
        <v>70.467111111111</v>
      </c>
      <c r="AN19" s="5">
        <v>3155.86</v>
      </c>
      <c r="AO19" s="5">
        <v>35.065111111111</v>
      </c>
      <c r="AP19" s="10">
        <v>0.49760960195773</v>
      </c>
      <c r="AQ19" s="4">
        <v>90.0</v>
      </c>
      <c r="AR19" s="7">
        <v>0</v>
      </c>
      <c r="AS19" s="7">
        <v>0</v>
      </c>
      <c r="AT19" s="7">
        <v>0</v>
      </c>
      <c r="AU19" s="3">
        <v>0</v>
      </c>
      <c r="AV19" s="7">
        <v>0</v>
      </c>
      <c r="AW19" s="7">
        <v>0</v>
      </c>
    </row>
    <row r="20" spans="1:49">
      <c r="A20" s="3">
        <v>18</v>
      </c>
      <c r="B20" s="3" t="s">
        <v>80</v>
      </c>
      <c r="C20" t="s">
        <v>81</v>
      </c>
      <c r="D20" s="3" t="s">
        <v>59</v>
      </c>
      <c r="E20" s="4">
        <v>400.0</v>
      </c>
      <c r="F20" s="5">
        <v>12366.2</v>
      </c>
      <c r="G20" s="4">
        <v>100.0</v>
      </c>
      <c r="H20" s="5">
        <v>3788.2</v>
      </c>
      <c r="I20" s="7">
        <v>0</v>
      </c>
      <c r="J20" s="7">
        <v>0</v>
      </c>
      <c r="K20" s="4">
        <v>38.181808</v>
      </c>
      <c r="L20" s="5">
        <v>1446.403251</v>
      </c>
      <c r="M20" s="6">
        <v>1.0</v>
      </c>
      <c r="N20" s="4">
        <v>170.0</v>
      </c>
      <c r="O20" s="4">
        <v>15.454545</v>
      </c>
      <c r="P20" s="4">
        <v>30.0</v>
      </c>
      <c r="Q20" s="4">
        <v>2.727272</v>
      </c>
      <c r="R20" s="7">
        <v>0</v>
      </c>
      <c r="S20" s="7">
        <v>0</v>
      </c>
      <c r="T20" s="4">
        <v>2.5</v>
      </c>
      <c r="U20" s="8" t="s">
        <v>46</v>
      </c>
      <c r="V20" s="5">
        <v>6018.61</v>
      </c>
      <c r="W20" s="5">
        <v>35.403588235294</v>
      </c>
      <c r="X20" s="5">
        <v>8548.95</v>
      </c>
      <c r="Y20" s="5">
        <v>50.287941176471</v>
      </c>
      <c r="Z20" s="5">
        <v>2530.34</v>
      </c>
      <c r="AA20" s="5">
        <v>14.884352941176</v>
      </c>
      <c r="AB20" s="10">
        <v>0.29598254756432</v>
      </c>
      <c r="AC20" s="4">
        <v>170.0</v>
      </c>
      <c r="AD20" s="7">
        <v>0</v>
      </c>
      <c r="AE20" s="7">
        <v>0</v>
      </c>
      <c r="AF20" s="7">
        <v>0</v>
      </c>
      <c r="AG20" s="3">
        <v>0</v>
      </c>
      <c r="AH20" s="7">
        <v>0</v>
      </c>
      <c r="AI20" s="7">
        <v>0</v>
      </c>
      <c r="AJ20" s="5">
        <v>1061.62</v>
      </c>
      <c r="AK20" s="5">
        <v>35.387333333333</v>
      </c>
      <c r="AL20" s="5">
        <v>1859.81</v>
      </c>
      <c r="AM20" s="5">
        <v>61.993666666667</v>
      </c>
      <c r="AN20" s="5">
        <v>798.19</v>
      </c>
      <c r="AO20" s="5">
        <v>26.606333333333</v>
      </c>
      <c r="AP20" s="10">
        <v>0.42917824939107</v>
      </c>
      <c r="AQ20" s="4">
        <v>30.0</v>
      </c>
      <c r="AR20" s="7">
        <v>0</v>
      </c>
      <c r="AS20" s="7">
        <v>0</v>
      </c>
      <c r="AT20" s="7">
        <v>0</v>
      </c>
      <c r="AU20" s="3">
        <v>0</v>
      </c>
      <c r="AV20" s="7">
        <v>0</v>
      </c>
      <c r="AW20" s="7">
        <v>0</v>
      </c>
    </row>
    <row r="21" spans="1:49">
      <c r="A21" s="3">
        <v>19</v>
      </c>
      <c r="B21" s="3" t="s">
        <v>82</v>
      </c>
      <c r="C21" t="s">
        <v>83</v>
      </c>
      <c r="D21" s="3" t="s">
        <v>59</v>
      </c>
      <c r="E21" s="4">
        <v>200.0</v>
      </c>
      <c r="F21" s="5">
        <v>6686.6</v>
      </c>
      <c r="G21" s="4">
        <v>100.0</v>
      </c>
      <c r="H21" s="5">
        <v>3788.1</v>
      </c>
      <c r="I21" s="7">
        <v>0</v>
      </c>
      <c r="J21" s="7">
        <v>0</v>
      </c>
      <c r="K21" s="4">
        <v>76.36363</v>
      </c>
      <c r="L21" s="5">
        <v>2892.730668</v>
      </c>
      <c r="M21" s="6">
        <v>1.0</v>
      </c>
      <c r="N21" s="4">
        <v>101.0</v>
      </c>
      <c r="O21" s="4">
        <v>9.181818</v>
      </c>
      <c r="P21" s="4">
        <v>60.0</v>
      </c>
      <c r="Q21" s="4">
        <v>5.454545</v>
      </c>
      <c r="R21" s="7">
        <v>0</v>
      </c>
      <c r="S21" s="7">
        <v>0</v>
      </c>
      <c r="T21" s="4">
        <v>5.0</v>
      </c>
      <c r="U21" s="8" t="s">
        <v>46</v>
      </c>
      <c r="V21" s="5">
        <v>3575.7</v>
      </c>
      <c r="W21" s="5">
        <v>35.40297029703</v>
      </c>
      <c r="X21" s="5">
        <v>4682.25</v>
      </c>
      <c r="Y21" s="5">
        <v>46.358910891089</v>
      </c>
      <c r="Z21" s="5">
        <v>1106.55</v>
      </c>
      <c r="AA21" s="5">
        <v>10.955940594059</v>
      </c>
      <c r="AB21" s="9">
        <v>0.23632868813071</v>
      </c>
      <c r="AC21" s="4">
        <v>101.0</v>
      </c>
      <c r="AD21" s="7">
        <v>0</v>
      </c>
      <c r="AE21" s="7">
        <v>0</v>
      </c>
      <c r="AF21" s="7">
        <v>0</v>
      </c>
      <c r="AG21" s="3">
        <v>0</v>
      </c>
      <c r="AH21" s="7">
        <v>0</v>
      </c>
      <c r="AI21" s="7">
        <v>0</v>
      </c>
      <c r="AJ21" s="5">
        <v>2174.1</v>
      </c>
      <c r="AK21" s="5">
        <v>36.235</v>
      </c>
      <c r="AL21" s="5">
        <v>3364.5</v>
      </c>
      <c r="AM21" s="5">
        <v>56.075</v>
      </c>
      <c r="AN21" s="5">
        <v>1190.4</v>
      </c>
      <c r="AO21" s="5">
        <v>19.84</v>
      </c>
      <c r="AP21" s="10">
        <v>0.35381185911725</v>
      </c>
      <c r="AQ21" s="4">
        <v>60.0</v>
      </c>
      <c r="AR21" s="7">
        <v>0</v>
      </c>
      <c r="AS21" s="7">
        <v>0</v>
      </c>
      <c r="AT21" s="7">
        <v>0</v>
      </c>
      <c r="AU21" s="3">
        <v>0</v>
      </c>
      <c r="AV21" s="7">
        <v>0</v>
      </c>
      <c r="AW21" s="7">
        <v>0</v>
      </c>
    </row>
    <row r="22" spans="1:49">
      <c r="A22" s="3">
        <v>20</v>
      </c>
      <c r="B22" s="3" t="s">
        <v>84</v>
      </c>
      <c r="C22" t="s">
        <v>85</v>
      </c>
      <c r="D22" s="3" t="s">
        <v>45</v>
      </c>
      <c r="E22" s="4">
        <v>100.0</v>
      </c>
      <c r="F22" s="5">
        <v>3788.2</v>
      </c>
      <c r="G22" s="4">
        <v>100.0</v>
      </c>
      <c r="H22" s="5">
        <v>3788.1</v>
      </c>
      <c r="I22" s="4">
        <v>100.0</v>
      </c>
      <c r="J22" s="5">
        <v>3788.1</v>
      </c>
      <c r="K22" s="4">
        <v>134.909082</v>
      </c>
      <c r="L22" s="5">
        <v>5110.490935</v>
      </c>
      <c r="M22" s="6">
        <v>0.2587600588669</v>
      </c>
      <c r="N22" s="4">
        <v>154.0</v>
      </c>
      <c r="O22" s="4">
        <v>14.0</v>
      </c>
      <c r="P22" s="4">
        <v>106.0</v>
      </c>
      <c r="Q22" s="4">
        <v>9.636363</v>
      </c>
      <c r="R22" s="7">
        <v>0</v>
      </c>
      <c r="S22" s="7">
        <v>0</v>
      </c>
      <c r="T22" s="4">
        <v>8.833333</v>
      </c>
      <c r="U22" s="8" t="s">
        <v>46</v>
      </c>
      <c r="V22" s="5">
        <v>5452.11</v>
      </c>
      <c r="W22" s="5">
        <v>35.403311688312</v>
      </c>
      <c r="X22" s="5">
        <v>7440.204</v>
      </c>
      <c r="Y22" s="5">
        <v>48.313012987013</v>
      </c>
      <c r="Z22" s="5">
        <v>1988.094</v>
      </c>
      <c r="AA22" s="5">
        <v>12.909701298701</v>
      </c>
      <c r="AB22" s="10">
        <v>0.26720960876879</v>
      </c>
      <c r="AC22" s="4">
        <v>154.0</v>
      </c>
      <c r="AD22" s="7">
        <v>0</v>
      </c>
      <c r="AE22" s="7">
        <v>0</v>
      </c>
      <c r="AF22" s="7">
        <v>0</v>
      </c>
      <c r="AG22" s="3">
        <v>0</v>
      </c>
      <c r="AH22" s="7">
        <v>0</v>
      </c>
      <c r="AI22" s="7">
        <v>0</v>
      </c>
      <c r="AJ22" s="5">
        <v>3760.69</v>
      </c>
      <c r="AK22" s="5">
        <v>35.47820754717</v>
      </c>
      <c r="AL22" s="5">
        <v>4579.458</v>
      </c>
      <c r="AM22" s="5">
        <v>43.202433962264</v>
      </c>
      <c r="AN22" s="5">
        <v>818.768</v>
      </c>
      <c r="AO22" s="5">
        <v>7.7242264150943</v>
      </c>
      <c r="AP22" s="9">
        <v>0.17879146396801</v>
      </c>
      <c r="AQ22" s="4">
        <v>106.0</v>
      </c>
      <c r="AR22" s="7">
        <v>0</v>
      </c>
      <c r="AS22" s="7">
        <v>0</v>
      </c>
      <c r="AT22" s="7">
        <v>0</v>
      </c>
      <c r="AU22" s="3">
        <v>0</v>
      </c>
      <c r="AV22" s="7">
        <v>0</v>
      </c>
      <c r="AW22" s="7">
        <v>0</v>
      </c>
    </row>
    <row r="23" spans="1:49">
      <c r="A23" s="3">
        <v>21</v>
      </c>
      <c r="B23" s="3" t="s">
        <v>86</v>
      </c>
      <c r="C23" t="s">
        <v>87</v>
      </c>
      <c r="D23" s="3" t="s">
        <v>45</v>
      </c>
      <c r="E23" s="4">
        <v>100.0</v>
      </c>
      <c r="F23" s="5">
        <v>2898.5</v>
      </c>
      <c r="G23" s="4">
        <v>100.0</v>
      </c>
      <c r="H23" s="5">
        <v>3788.1</v>
      </c>
      <c r="I23" s="7">
        <v>0</v>
      </c>
      <c r="J23" s="7">
        <v>0</v>
      </c>
      <c r="K23" s="4">
        <v>25.454534</v>
      </c>
      <c r="L23" s="5">
        <v>964.243202</v>
      </c>
      <c r="M23" s="6">
        <v>1.0</v>
      </c>
      <c r="N23" s="4">
        <v>100.0</v>
      </c>
      <c r="O23" s="4">
        <v>9.090909</v>
      </c>
      <c r="P23" s="4">
        <v>20.0</v>
      </c>
      <c r="Q23" s="4">
        <v>1.818181</v>
      </c>
      <c r="R23" s="7">
        <v>0</v>
      </c>
      <c r="S23" s="7">
        <v>0</v>
      </c>
      <c r="T23" s="4">
        <v>1.666666</v>
      </c>
      <c r="U23" s="8" t="s">
        <v>46</v>
      </c>
      <c r="V23" s="5">
        <v>3374.04</v>
      </c>
      <c r="W23" s="5">
        <v>33.7404</v>
      </c>
      <c r="X23" s="5">
        <v>4173.83</v>
      </c>
      <c r="Y23" s="5">
        <v>41.7383</v>
      </c>
      <c r="Z23" s="5">
        <v>799.79</v>
      </c>
      <c r="AA23" s="5">
        <v>7.9979</v>
      </c>
      <c r="AB23" s="9">
        <v>0.19162016660956</v>
      </c>
      <c r="AC23" s="4">
        <v>100.0</v>
      </c>
      <c r="AD23" s="7">
        <v>0</v>
      </c>
      <c r="AE23" s="7">
        <v>0</v>
      </c>
      <c r="AF23" s="7">
        <v>0</v>
      </c>
      <c r="AG23" s="3">
        <v>0</v>
      </c>
      <c r="AH23" s="7">
        <v>0</v>
      </c>
      <c r="AI23" s="7">
        <v>0</v>
      </c>
      <c r="AJ23" s="5">
        <v>667.98</v>
      </c>
      <c r="AK23" s="5">
        <v>33.399</v>
      </c>
      <c r="AL23" s="5">
        <v>878.51</v>
      </c>
      <c r="AM23" s="5">
        <v>43.9255</v>
      </c>
      <c r="AN23" s="5">
        <v>210.53</v>
      </c>
      <c r="AO23" s="5">
        <v>10.5265</v>
      </c>
      <c r="AP23" s="9">
        <v>0.23964439790099</v>
      </c>
      <c r="AQ23" s="4">
        <v>20.0</v>
      </c>
      <c r="AR23" s="7">
        <v>0</v>
      </c>
      <c r="AS23" s="7">
        <v>0</v>
      </c>
      <c r="AT23" s="7">
        <v>0</v>
      </c>
      <c r="AU23" s="3">
        <v>0</v>
      </c>
      <c r="AV23" s="7">
        <v>0</v>
      </c>
      <c r="AW23" s="7">
        <v>0</v>
      </c>
    </row>
    <row r="24" spans="1:49">
      <c r="A24" s="3">
        <v>22</v>
      </c>
      <c r="B24" s="3" t="s">
        <v>88</v>
      </c>
      <c r="C24" t="s">
        <v>89</v>
      </c>
      <c r="D24" s="3" t="s">
        <v>45</v>
      </c>
      <c r="E24" s="4">
        <v>300.0</v>
      </c>
      <c r="F24" s="5">
        <v>8314.3</v>
      </c>
      <c r="G24" s="4">
        <v>100.0</v>
      </c>
      <c r="H24" s="5">
        <v>2980.7</v>
      </c>
      <c r="I24" s="4">
        <v>100.0</v>
      </c>
      <c r="J24" s="5">
        <v>2981.0</v>
      </c>
      <c r="K24" s="4">
        <v>96.72726</v>
      </c>
      <c r="L24" s="5">
        <v>2883.439621</v>
      </c>
      <c r="M24" s="14">
        <v>-0.03383472249705</v>
      </c>
      <c r="N24" s="4">
        <v>88.0</v>
      </c>
      <c r="O24" s="4">
        <v>8.0</v>
      </c>
      <c r="P24" s="4">
        <v>68.0</v>
      </c>
      <c r="Q24" s="4">
        <v>6.90909</v>
      </c>
      <c r="R24" s="4">
        <v>140.0</v>
      </c>
      <c r="S24" s="5">
        <v>4173.4</v>
      </c>
      <c r="T24" s="4">
        <v>5.666666</v>
      </c>
      <c r="U24" s="12">
        <v>24.705885259516</v>
      </c>
      <c r="V24" s="5">
        <v>2451.372</v>
      </c>
      <c r="W24" s="5">
        <v>27.8565</v>
      </c>
      <c r="X24" s="5">
        <v>2650.51</v>
      </c>
      <c r="Y24" s="5">
        <v>30.119431818182</v>
      </c>
      <c r="Z24" s="5">
        <v>199.138</v>
      </c>
      <c r="AA24" s="5">
        <v>2.2629318181818</v>
      </c>
      <c r="AB24" s="9">
        <v>0.07513195573682</v>
      </c>
      <c r="AC24" s="4">
        <v>88.0</v>
      </c>
      <c r="AD24" s="7">
        <v>0</v>
      </c>
      <c r="AE24" s="7">
        <v>0</v>
      </c>
      <c r="AF24" s="7">
        <v>0</v>
      </c>
      <c r="AG24" s="3">
        <v>0</v>
      </c>
      <c r="AH24" s="7">
        <v>0</v>
      </c>
      <c r="AI24" s="7">
        <v>0</v>
      </c>
      <c r="AJ24" s="5">
        <v>1909.34</v>
      </c>
      <c r="AK24" s="5">
        <v>28.078529411765</v>
      </c>
      <c r="AL24" s="5">
        <v>2205.676</v>
      </c>
      <c r="AM24" s="5">
        <v>32.436411764706</v>
      </c>
      <c r="AN24" s="5">
        <v>296.336</v>
      </c>
      <c r="AO24" s="5">
        <v>4.3578823529412</v>
      </c>
      <c r="AP24" s="9">
        <v>0.13435155480678</v>
      </c>
      <c r="AQ24" s="4">
        <v>68.0</v>
      </c>
      <c r="AR24" s="7">
        <v>0</v>
      </c>
      <c r="AS24" s="7">
        <v>0</v>
      </c>
      <c r="AT24" s="7">
        <v>0</v>
      </c>
      <c r="AU24" s="3">
        <v>0</v>
      </c>
      <c r="AV24" s="7">
        <v>0</v>
      </c>
      <c r="AW24" s="7">
        <v>0</v>
      </c>
    </row>
    <row r="25" spans="1:49">
      <c r="A25" s="3">
        <v>23</v>
      </c>
      <c r="B25" s="3" t="s">
        <v>90</v>
      </c>
      <c r="C25" t="s">
        <v>91</v>
      </c>
      <c r="D25" s="3" t="s">
        <v>45</v>
      </c>
      <c r="E25" s="4">
        <v>200.0</v>
      </c>
      <c r="F25" s="5">
        <v>5333.5</v>
      </c>
      <c r="G25" s="4">
        <v>100.0</v>
      </c>
      <c r="H25" s="5">
        <v>2980.6</v>
      </c>
      <c r="I25" s="7">
        <v>0</v>
      </c>
      <c r="J25" s="7">
        <v>0</v>
      </c>
      <c r="K25" s="4">
        <v>66.181808</v>
      </c>
      <c r="L25" s="5">
        <v>1972.614969</v>
      </c>
      <c r="M25" s="6">
        <v>1.0</v>
      </c>
      <c r="N25" s="4">
        <v>103.0</v>
      </c>
      <c r="O25" s="4">
        <v>9.363636</v>
      </c>
      <c r="P25" s="4">
        <v>52.0</v>
      </c>
      <c r="Q25" s="4">
        <v>4.727272</v>
      </c>
      <c r="R25" s="4">
        <v>5.0</v>
      </c>
      <c r="S25" s="5">
        <v>149.03</v>
      </c>
      <c r="T25" s="4">
        <v>4.333333</v>
      </c>
      <c r="U25" s="13">
        <v>1.1538462426036</v>
      </c>
      <c r="V25" s="5">
        <v>2869.23</v>
      </c>
      <c r="W25" s="5">
        <v>27.856601941748</v>
      </c>
      <c r="X25" s="5">
        <v>2426.391</v>
      </c>
      <c r="Y25" s="5">
        <v>23.557194174757</v>
      </c>
      <c r="Z25" s="5">
        <v>-442.839</v>
      </c>
      <c r="AA25" s="5">
        <v>-4.2994077669903</v>
      </c>
      <c r="AB25" s="11">
        <v>-0.18250933176063</v>
      </c>
      <c r="AC25" s="4">
        <v>103.0</v>
      </c>
      <c r="AD25" s="7">
        <v>0</v>
      </c>
      <c r="AE25" s="4">
        <v>1.0</v>
      </c>
      <c r="AF25" s="7">
        <v>0</v>
      </c>
      <c r="AG25" s="16">
        <v>0.0097087378640777</v>
      </c>
      <c r="AH25" s="7">
        <v>0</v>
      </c>
      <c r="AI25" s="7">
        <v>0</v>
      </c>
      <c r="AJ25" s="5">
        <v>1519.12</v>
      </c>
      <c r="AK25" s="5">
        <v>29.213846153846</v>
      </c>
      <c r="AL25" s="5">
        <v>1644.876</v>
      </c>
      <c r="AM25" s="5">
        <v>31.632230769231</v>
      </c>
      <c r="AN25" s="5">
        <v>125.756</v>
      </c>
      <c r="AO25" s="5">
        <v>2.4183846153846</v>
      </c>
      <c r="AP25" s="9">
        <v>0.076453179449393</v>
      </c>
      <c r="AQ25" s="4">
        <v>52.0</v>
      </c>
      <c r="AR25" s="7">
        <v>0</v>
      </c>
      <c r="AS25" s="7">
        <v>0</v>
      </c>
      <c r="AT25" s="7">
        <v>0</v>
      </c>
      <c r="AU25" s="3">
        <v>0</v>
      </c>
      <c r="AV25" s="7">
        <v>0</v>
      </c>
      <c r="AW25" s="7">
        <v>0</v>
      </c>
    </row>
    <row r="26" spans="1:49">
      <c r="A26" s="3">
        <v>24</v>
      </c>
      <c r="B26" s="3" t="s">
        <v>92</v>
      </c>
      <c r="C26" t="s">
        <v>93</v>
      </c>
      <c r="D26" s="3" t="s">
        <v>45</v>
      </c>
      <c r="E26" s="4">
        <v>100.0</v>
      </c>
      <c r="F26" s="5">
        <v>3788.2</v>
      </c>
      <c r="G26" s="7">
        <v>0</v>
      </c>
      <c r="H26" s="7">
        <v>0</v>
      </c>
      <c r="I26" s="7">
        <v>0</v>
      </c>
      <c r="J26" s="7">
        <v>0</v>
      </c>
      <c r="K26" s="4">
        <v>38.181808</v>
      </c>
      <c r="L26" s="5">
        <v>1446.403251</v>
      </c>
      <c r="M26" s="6">
        <v>1.0</v>
      </c>
      <c r="N26" s="4">
        <v>40.0</v>
      </c>
      <c r="O26" s="4">
        <v>3.636363</v>
      </c>
      <c r="P26" s="4">
        <v>30.0</v>
      </c>
      <c r="Q26" s="4">
        <v>2.727272</v>
      </c>
      <c r="R26" s="7">
        <v>0</v>
      </c>
      <c r="S26" s="7">
        <v>0</v>
      </c>
      <c r="T26" s="4">
        <v>2.5</v>
      </c>
      <c r="U26" s="8" t="s">
        <v>46</v>
      </c>
      <c r="V26" s="5">
        <v>1416.16</v>
      </c>
      <c r="W26" s="5">
        <v>35.404</v>
      </c>
      <c r="X26" s="5">
        <v>1882.25</v>
      </c>
      <c r="Y26" s="5">
        <v>47.05625</v>
      </c>
      <c r="Z26" s="5">
        <v>466.09</v>
      </c>
      <c r="AA26" s="5">
        <v>11.65225</v>
      </c>
      <c r="AB26" s="9">
        <v>0.24762385442954</v>
      </c>
      <c r="AC26" s="4">
        <v>40.0</v>
      </c>
      <c r="AD26" s="7">
        <v>0</v>
      </c>
      <c r="AE26" s="7">
        <v>0</v>
      </c>
      <c r="AF26" s="7">
        <v>0</v>
      </c>
      <c r="AG26" s="3">
        <v>0</v>
      </c>
      <c r="AH26" s="7">
        <v>0</v>
      </c>
      <c r="AI26" s="7">
        <v>0</v>
      </c>
      <c r="AJ26" s="5">
        <v>1058.37</v>
      </c>
      <c r="AK26" s="5">
        <v>35.279</v>
      </c>
      <c r="AL26" s="5">
        <v>1355.15</v>
      </c>
      <c r="AM26" s="5">
        <v>45.171666666667</v>
      </c>
      <c r="AN26" s="5">
        <v>296.78</v>
      </c>
      <c r="AO26" s="5">
        <v>9.8926666666667</v>
      </c>
      <c r="AP26" s="9">
        <v>0.21900158654024</v>
      </c>
      <c r="AQ26" s="4">
        <v>30.0</v>
      </c>
      <c r="AR26" s="7">
        <v>0</v>
      </c>
      <c r="AS26" s="7">
        <v>0</v>
      </c>
      <c r="AT26" s="7">
        <v>0</v>
      </c>
      <c r="AU26" s="3">
        <v>0</v>
      </c>
      <c r="AV26" s="7">
        <v>0</v>
      </c>
      <c r="AW26" s="7">
        <v>0</v>
      </c>
    </row>
    <row r="27" spans="1:49">
      <c r="A27" s="3">
        <v>25</v>
      </c>
      <c r="B27" s="3" t="s">
        <v>94</v>
      </c>
      <c r="C27" t="s">
        <v>95</v>
      </c>
      <c r="D27" s="3" t="s">
        <v>59</v>
      </c>
      <c r="E27" s="4">
        <v>100.0</v>
      </c>
      <c r="F27" s="5">
        <v>3788.1</v>
      </c>
      <c r="G27" s="7">
        <v>0</v>
      </c>
      <c r="H27" s="7">
        <v>0</v>
      </c>
      <c r="I27" s="7">
        <v>0</v>
      </c>
      <c r="J27" s="7">
        <v>0</v>
      </c>
      <c r="K27" s="4">
        <v>12.72726</v>
      </c>
      <c r="L27" s="5">
        <v>482.121336</v>
      </c>
      <c r="M27" s="6">
        <v>1.0</v>
      </c>
      <c r="N27" s="4">
        <v>70.0</v>
      </c>
      <c r="O27" s="4">
        <v>6.363636</v>
      </c>
      <c r="P27" s="4">
        <v>10.0</v>
      </c>
      <c r="Q27" s="4">
        <v>0.90909</v>
      </c>
      <c r="R27" s="4">
        <v>10.0</v>
      </c>
      <c r="S27" s="5">
        <v>378.81</v>
      </c>
      <c r="T27" s="4">
        <v>0.833333</v>
      </c>
      <c r="U27" s="12">
        <v>12.000004800002</v>
      </c>
      <c r="V27" s="5">
        <v>2478.22</v>
      </c>
      <c r="W27" s="5">
        <v>35.403142857143</v>
      </c>
      <c r="X27" s="5">
        <v>3252.35</v>
      </c>
      <c r="Y27" s="5">
        <v>46.462142857143</v>
      </c>
      <c r="Z27" s="5">
        <v>774.13</v>
      </c>
      <c r="AA27" s="5">
        <v>11.059</v>
      </c>
      <c r="AB27" s="9">
        <v>0.23802173812782</v>
      </c>
      <c r="AC27" s="4">
        <v>70.0</v>
      </c>
      <c r="AD27" s="7">
        <v>0</v>
      </c>
      <c r="AE27" s="7">
        <v>0</v>
      </c>
      <c r="AF27" s="7">
        <v>0</v>
      </c>
      <c r="AG27" s="3">
        <v>0</v>
      </c>
      <c r="AH27" s="7">
        <v>0</v>
      </c>
      <c r="AI27" s="7">
        <v>0</v>
      </c>
      <c r="AJ27" s="5">
        <v>363.8</v>
      </c>
      <c r="AK27" s="5">
        <v>36.38</v>
      </c>
      <c r="AL27" s="5">
        <v>401.87</v>
      </c>
      <c r="AM27" s="5">
        <v>40.187</v>
      </c>
      <c r="AN27" s="5">
        <v>38.07</v>
      </c>
      <c r="AO27" s="5">
        <v>3.807</v>
      </c>
      <c r="AP27" s="9">
        <v>0.09473212730485</v>
      </c>
      <c r="AQ27" s="4">
        <v>10.0</v>
      </c>
      <c r="AR27" s="7">
        <v>0</v>
      </c>
      <c r="AS27" s="7">
        <v>0</v>
      </c>
      <c r="AT27" s="7">
        <v>0</v>
      </c>
      <c r="AU27" s="3">
        <v>0</v>
      </c>
      <c r="AV27" s="7">
        <v>0</v>
      </c>
      <c r="AW27" s="7">
        <v>0</v>
      </c>
    </row>
    <row r="28" spans="1:49">
      <c r="A28" s="3">
        <v>26</v>
      </c>
      <c r="B28" s="3" t="s">
        <v>96</v>
      </c>
      <c r="C28" t="s">
        <v>97</v>
      </c>
      <c r="D28" s="3" t="s">
        <v>45</v>
      </c>
      <c r="E28" s="4">
        <v>100.0</v>
      </c>
      <c r="F28" s="5">
        <v>3788.1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15">
        <v>0</v>
      </c>
      <c r="N28" s="4">
        <v>90.0</v>
      </c>
      <c r="O28" s="4">
        <v>8.181818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8" t="s">
        <v>46</v>
      </c>
      <c r="V28" s="5">
        <v>3186.31</v>
      </c>
      <c r="W28" s="5">
        <v>35.403444444444</v>
      </c>
      <c r="X28" s="5">
        <v>4056.09</v>
      </c>
      <c r="Y28" s="5">
        <v>45.067666666667</v>
      </c>
      <c r="Z28" s="5">
        <v>869.78</v>
      </c>
      <c r="AA28" s="5">
        <v>9.6642222222222</v>
      </c>
      <c r="AB28" s="9">
        <v>0.21443804254837</v>
      </c>
      <c r="AC28" s="4">
        <v>90.0</v>
      </c>
      <c r="AD28" s="7">
        <v>0</v>
      </c>
      <c r="AE28" s="7">
        <v>0</v>
      </c>
      <c r="AF28" s="7">
        <v>0</v>
      </c>
      <c r="AG28" s="3">
        <v>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0</v>
      </c>
      <c r="AO28" s="7">
        <v>0</v>
      </c>
      <c r="AP28" s="3">
        <v>0</v>
      </c>
      <c r="AQ28" s="7">
        <v>0</v>
      </c>
      <c r="AR28" s="7">
        <v>0</v>
      </c>
      <c r="AS28" s="7">
        <v>0</v>
      </c>
      <c r="AT28" s="7">
        <v>0</v>
      </c>
      <c r="AU28" s="3">
        <v>0</v>
      </c>
      <c r="AV28" s="7">
        <v>0</v>
      </c>
      <c r="AW28" s="7">
        <v>0</v>
      </c>
    </row>
    <row r="29" spans="1:49">
      <c r="A29" s="3">
        <v>27</v>
      </c>
      <c r="B29" s="3" t="s">
        <v>98</v>
      </c>
      <c r="C29" t="s">
        <v>99</v>
      </c>
      <c r="D29" s="3" t="s">
        <v>59</v>
      </c>
      <c r="E29" s="4">
        <v>100.0</v>
      </c>
      <c r="F29" s="5">
        <v>3788.1</v>
      </c>
      <c r="G29" s="7">
        <v>0</v>
      </c>
      <c r="H29" s="7">
        <v>0</v>
      </c>
      <c r="I29" s="7">
        <v>0</v>
      </c>
      <c r="J29" s="7">
        <v>0</v>
      </c>
      <c r="K29" s="4">
        <v>50.909082</v>
      </c>
      <c r="L29" s="5">
        <v>1928.486935</v>
      </c>
      <c r="M29" s="6">
        <v>1.0</v>
      </c>
      <c r="N29" s="4">
        <v>60.0</v>
      </c>
      <c r="O29" s="4">
        <v>5.454545</v>
      </c>
      <c r="P29" s="4">
        <v>40.0</v>
      </c>
      <c r="Q29" s="4">
        <v>3.636363</v>
      </c>
      <c r="R29" s="7">
        <v>0</v>
      </c>
      <c r="S29" s="7">
        <v>0</v>
      </c>
      <c r="T29" s="4">
        <v>3.333333</v>
      </c>
      <c r="U29" s="8" t="s">
        <v>46</v>
      </c>
      <c r="V29" s="5">
        <v>2041.04</v>
      </c>
      <c r="W29" s="5">
        <v>34.017333333333</v>
      </c>
      <c r="X29" s="5">
        <v>2400.0</v>
      </c>
      <c r="Y29" s="5">
        <v>40.0</v>
      </c>
      <c r="Z29" s="5">
        <v>358.96</v>
      </c>
      <c r="AA29" s="5">
        <v>5.9826666666667</v>
      </c>
      <c r="AB29" s="9">
        <v>0.14956666666667</v>
      </c>
      <c r="AC29" s="4">
        <v>60.0</v>
      </c>
      <c r="AD29" s="7">
        <v>0</v>
      </c>
      <c r="AE29" s="7">
        <v>0</v>
      </c>
      <c r="AF29" s="7">
        <v>0</v>
      </c>
      <c r="AG29" s="3">
        <v>0</v>
      </c>
      <c r="AH29" s="7">
        <v>0</v>
      </c>
      <c r="AI29" s="7">
        <v>0</v>
      </c>
      <c r="AJ29" s="5">
        <v>1403.76</v>
      </c>
      <c r="AK29" s="5">
        <v>35.094</v>
      </c>
      <c r="AL29" s="5">
        <v>1794.4</v>
      </c>
      <c r="AM29" s="5">
        <v>44.86</v>
      </c>
      <c r="AN29" s="5">
        <v>390.64</v>
      </c>
      <c r="AO29" s="5">
        <v>9.766</v>
      </c>
      <c r="AP29" s="9">
        <v>0.21769950958538</v>
      </c>
      <c r="AQ29" s="4">
        <v>40.0</v>
      </c>
      <c r="AR29" s="7">
        <v>0</v>
      </c>
      <c r="AS29" s="7">
        <v>0</v>
      </c>
      <c r="AT29" s="7">
        <v>0</v>
      </c>
      <c r="AU29" s="3">
        <v>0</v>
      </c>
      <c r="AV29" s="7">
        <v>0</v>
      </c>
      <c r="AW29" s="7">
        <v>0</v>
      </c>
    </row>
    <row r="30" spans="1:49">
      <c r="A30" s="3">
        <v>28</v>
      </c>
      <c r="B30" s="3" t="s">
        <v>100</v>
      </c>
      <c r="C30" t="s">
        <v>101</v>
      </c>
      <c r="D30" s="3" t="s">
        <v>45</v>
      </c>
      <c r="E30" s="4">
        <v>100.0</v>
      </c>
      <c r="F30" s="5">
        <v>3788.1</v>
      </c>
      <c r="G30" s="7">
        <v>0</v>
      </c>
      <c r="H30" s="7">
        <v>0</v>
      </c>
      <c r="I30" s="7">
        <v>0</v>
      </c>
      <c r="J30" s="7">
        <v>0</v>
      </c>
      <c r="K30" s="4">
        <v>63.636356</v>
      </c>
      <c r="L30" s="5">
        <v>2410.608802</v>
      </c>
      <c r="M30" s="6">
        <v>1.0</v>
      </c>
      <c r="N30" s="4">
        <v>60.0</v>
      </c>
      <c r="O30" s="4">
        <v>5.454545</v>
      </c>
      <c r="P30" s="4">
        <v>50.0</v>
      </c>
      <c r="Q30" s="4">
        <v>4.545454</v>
      </c>
      <c r="R30" s="7">
        <v>0</v>
      </c>
      <c r="S30" s="7">
        <v>0</v>
      </c>
      <c r="T30" s="4">
        <v>4.166666</v>
      </c>
      <c r="U30" s="8" t="s">
        <v>46</v>
      </c>
      <c r="V30" s="5">
        <v>2041.03</v>
      </c>
      <c r="W30" s="5">
        <v>34.017166666667</v>
      </c>
      <c r="X30" s="5">
        <v>2809.35</v>
      </c>
      <c r="Y30" s="5">
        <v>46.8225</v>
      </c>
      <c r="Z30" s="5">
        <v>768.32</v>
      </c>
      <c r="AA30" s="5">
        <v>12.805333333333</v>
      </c>
      <c r="AB30" s="10">
        <v>0.273486749604</v>
      </c>
      <c r="AC30" s="4">
        <v>60.0</v>
      </c>
      <c r="AD30" s="7">
        <v>0</v>
      </c>
      <c r="AE30" s="7">
        <v>0</v>
      </c>
      <c r="AF30" s="7">
        <v>0</v>
      </c>
      <c r="AG30" s="3">
        <v>0</v>
      </c>
      <c r="AH30" s="7">
        <v>0</v>
      </c>
      <c r="AI30" s="7">
        <v>0</v>
      </c>
      <c r="AJ30" s="5">
        <v>1770.13</v>
      </c>
      <c r="AK30" s="5">
        <v>35.4026</v>
      </c>
      <c r="AL30" s="5">
        <v>2803.75</v>
      </c>
      <c r="AM30" s="5">
        <v>56.075</v>
      </c>
      <c r="AN30" s="5">
        <v>1033.62</v>
      </c>
      <c r="AO30" s="5">
        <v>20.6724</v>
      </c>
      <c r="AP30" s="10">
        <v>0.36865626393223</v>
      </c>
      <c r="AQ30" s="4">
        <v>50.0</v>
      </c>
      <c r="AR30" s="7">
        <v>0</v>
      </c>
      <c r="AS30" s="7">
        <v>0</v>
      </c>
      <c r="AT30" s="7">
        <v>0</v>
      </c>
      <c r="AU30" s="3">
        <v>0</v>
      </c>
      <c r="AV30" s="7">
        <v>0</v>
      </c>
      <c r="AW30" s="7">
        <v>0</v>
      </c>
    </row>
    <row r="31" spans="1:49">
      <c r="A31" s="3">
        <v>29</v>
      </c>
      <c r="B31" s="3" t="s">
        <v>102</v>
      </c>
      <c r="C31" t="s">
        <v>103</v>
      </c>
      <c r="D31" s="3" t="s">
        <v>45</v>
      </c>
      <c r="E31" s="4">
        <v>100.0</v>
      </c>
      <c r="F31" s="5">
        <v>3788.1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15">
        <v>0</v>
      </c>
      <c r="N31" s="4">
        <v>70.0</v>
      </c>
      <c r="O31" s="4">
        <v>6.363636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8" t="s">
        <v>46</v>
      </c>
      <c r="V31" s="5">
        <v>2478.23</v>
      </c>
      <c r="W31" s="5">
        <v>35.403285714286</v>
      </c>
      <c r="X31" s="5">
        <v>2702.8</v>
      </c>
      <c r="Y31" s="5">
        <v>38.611428571429</v>
      </c>
      <c r="Z31" s="5">
        <v>224.57</v>
      </c>
      <c r="AA31" s="5">
        <v>3.2081428571429</v>
      </c>
      <c r="AB31" s="9">
        <v>0.083087908835282</v>
      </c>
      <c r="AC31" s="4">
        <v>70.0</v>
      </c>
      <c r="AD31" s="7">
        <v>0</v>
      </c>
      <c r="AE31" s="7">
        <v>0</v>
      </c>
      <c r="AF31" s="7">
        <v>0</v>
      </c>
      <c r="AG31" s="3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3">
        <v>0</v>
      </c>
      <c r="AQ31" s="7">
        <v>0</v>
      </c>
      <c r="AR31" s="7">
        <v>0</v>
      </c>
      <c r="AS31" s="7">
        <v>0</v>
      </c>
      <c r="AT31" s="7">
        <v>0</v>
      </c>
      <c r="AU31" s="3">
        <v>0</v>
      </c>
      <c r="AV31" s="7">
        <v>0</v>
      </c>
      <c r="AW31" s="7">
        <v>0</v>
      </c>
    </row>
    <row r="32" spans="1:49">
      <c r="A32" s="3">
        <v>30</v>
      </c>
      <c r="B32" s="3" t="s">
        <v>104</v>
      </c>
      <c r="C32" t="s">
        <v>105</v>
      </c>
      <c r="D32" s="3" t="s">
        <v>45</v>
      </c>
      <c r="E32" s="4">
        <v>100.0</v>
      </c>
      <c r="F32" s="5">
        <v>2898.5</v>
      </c>
      <c r="G32" s="7">
        <v>0</v>
      </c>
      <c r="H32" s="7">
        <v>0</v>
      </c>
      <c r="I32" s="4">
        <v>100.0</v>
      </c>
      <c r="J32" s="5">
        <v>3788.1</v>
      </c>
      <c r="K32" s="4">
        <v>63.636356</v>
      </c>
      <c r="L32" s="5">
        <v>2410.608802</v>
      </c>
      <c r="M32" s="14">
        <v>-0.57142876000002</v>
      </c>
      <c r="N32" s="4">
        <v>80.0</v>
      </c>
      <c r="O32" s="4">
        <v>7.272727</v>
      </c>
      <c r="P32" s="4">
        <v>50.0</v>
      </c>
      <c r="Q32" s="4">
        <v>4.545454</v>
      </c>
      <c r="R32" s="4">
        <v>40.0</v>
      </c>
      <c r="S32" s="5">
        <v>1515.24</v>
      </c>
      <c r="T32" s="4">
        <v>4.166666</v>
      </c>
      <c r="U32" s="12">
        <v>9.6000015360002</v>
      </c>
      <c r="V32" s="5">
        <v>2167.12</v>
      </c>
      <c r="W32" s="5">
        <v>27.089</v>
      </c>
      <c r="X32" s="5">
        <v>3579.44</v>
      </c>
      <c r="Y32" s="5">
        <v>44.743</v>
      </c>
      <c r="Z32" s="5">
        <v>1412.32</v>
      </c>
      <c r="AA32" s="5">
        <v>17.654</v>
      </c>
      <c r="AB32" s="10">
        <v>0.3945645128847</v>
      </c>
      <c r="AC32" s="4">
        <v>80.0</v>
      </c>
      <c r="AD32" s="7">
        <v>0</v>
      </c>
      <c r="AE32" s="7">
        <v>0</v>
      </c>
      <c r="AF32" s="7">
        <v>0</v>
      </c>
      <c r="AG32" s="3">
        <v>0</v>
      </c>
      <c r="AH32" s="7">
        <v>0</v>
      </c>
      <c r="AI32" s="7">
        <v>0</v>
      </c>
      <c r="AJ32" s="5">
        <v>1770.15</v>
      </c>
      <c r="AK32" s="5">
        <v>35.403</v>
      </c>
      <c r="AL32" s="5">
        <v>3084.1</v>
      </c>
      <c r="AM32" s="5">
        <v>61.682</v>
      </c>
      <c r="AN32" s="5">
        <v>1313.95</v>
      </c>
      <c r="AO32" s="5">
        <v>26.279</v>
      </c>
      <c r="AP32" s="10">
        <v>0.42604001167277</v>
      </c>
      <c r="AQ32" s="4">
        <v>50.0</v>
      </c>
      <c r="AR32" s="7">
        <v>0</v>
      </c>
      <c r="AS32" s="7">
        <v>0</v>
      </c>
      <c r="AT32" s="7">
        <v>0</v>
      </c>
      <c r="AU32" s="3">
        <v>0</v>
      </c>
      <c r="AV32" s="7">
        <v>0</v>
      </c>
      <c r="AW32" s="7">
        <v>0</v>
      </c>
    </row>
    <row r="33" spans="1:49">
      <c r="A33" s="3">
        <v>31</v>
      </c>
      <c r="B33" s="3" t="s">
        <v>106</v>
      </c>
      <c r="C33" t="s">
        <v>107</v>
      </c>
      <c r="D33" s="3" t="s">
        <v>45</v>
      </c>
      <c r="E33" s="4">
        <v>100.0</v>
      </c>
      <c r="F33" s="5">
        <v>3788.2</v>
      </c>
      <c r="G33" s="7">
        <v>0</v>
      </c>
      <c r="H33" s="7">
        <v>0</v>
      </c>
      <c r="I33" s="7">
        <v>0</v>
      </c>
      <c r="J33" s="7">
        <v>0</v>
      </c>
      <c r="K33" s="4">
        <v>50.909082</v>
      </c>
      <c r="L33" s="5">
        <v>1928.537844</v>
      </c>
      <c r="M33" s="6">
        <v>1.0</v>
      </c>
      <c r="N33" s="4">
        <v>50.0</v>
      </c>
      <c r="O33" s="4">
        <v>4.545454</v>
      </c>
      <c r="P33" s="4">
        <v>40.0</v>
      </c>
      <c r="Q33" s="4">
        <v>3.636363</v>
      </c>
      <c r="R33" s="7">
        <v>0</v>
      </c>
      <c r="S33" s="7">
        <v>0</v>
      </c>
      <c r="T33" s="4">
        <v>3.333333</v>
      </c>
      <c r="U33" s="8" t="s">
        <v>46</v>
      </c>
      <c r="V33" s="5">
        <v>1770.19</v>
      </c>
      <c r="W33" s="5">
        <v>35.4038</v>
      </c>
      <c r="X33" s="5">
        <v>2024.3</v>
      </c>
      <c r="Y33" s="5">
        <v>40.486</v>
      </c>
      <c r="Z33" s="5">
        <v>254.11</v>
      </c>
      <c r="AA33" s="5">
        <v>5.0822</v>
      </c>
      <c r="AB33" s="9">
        <v>0.12552981277479</v>
      </c>
      <c r="AC33" s="4">
        <v>50.0</v>
      </c>
      <c r="AD33" s="7">
        <v>0</v>
      </c>
      <c r="AE33" s="7">
        <v>0</v>
      </c>
      <c r="AF33" s="7">
        <v>0</v>
      </c>
      <c r="AG33" s="3">
        <v>0</v>
      </c>
      <c r="AH33" s="7">
        <v>0</v>
      </c>
      <c r="AI33" s="7">
        <v>0</v>
      </c>
      <c r="AJ33" s="5">
        <v>1415.32</v>
      </c>
      <c r="AK33" s="5">
        <v>35.383</v>
      </c>
      <c r="AL33" s="5">
        <v>1794.4</v>
      </c>
      <c r="AM33" s="5">
        <v>44.86</v>
      </c>
      <c r="AN33" s="5">
        <v>379.08</v>
      </c>
      <c r="AO33" s="5">
        <v>9.477</v>
      </c>
      <c r="AP33" s="9">
        <v>0.21125724476148</v>
      </c>
      <c r="AQ33" s="4">
        <v>40.0</v>
      </c>
      <c r="AR33" s="7">
        <v>0</v>
      </c>
      <c r="AS33" s="7">
        <v>0</v>
      </c>
      <c r="AT33" s="7">
        <v>0</v>
      </c>
      <c r="AU33" s="3">
        <v>0</v>
      </c>
      <c r="AV33" s="7">
        <v>0</v>
      </c>
      <c r="AW33" s="7">
        <v>0</v>
      </c>
    </row>
    <row r="34" spans="1:49">
      <c r="A34" s="3">
        <v>32</v>
      </c>
      <c r="B34" s="3" t="s">
        <v>108</v>
      </c>
      <c r="C34" t="s">
        <v>109</v>
      </c>
      <c r="D34" s="3" t="s">
        <v>45</v>
      </c>
      <c r="E34" s="4">
        <v>100.0</v>
      </c>
      <c r="F34" s="5">
        <v>3788.1</v>
      </c>
      <c r="G34" s="7">
        <v>0</v>
      </c>
      <c r="H34" s="7">
        <v>0</v>
      </c>
      <c r="I34" s="7">
        <v>0</v>
      </c>
      <c r="J34" s="7">
        <v>0</v>
      </c>
      <c r="K34" s="4">
        <v>38.181808</v>
      </c>
      <c r="L34" s="5">
        <v>1446.365069</v>
      </c>
      <c r="M34" s="6">
        <v>1.0</v>
      </c>
      <c r="N34" s="4">
        <v>70.0</v>
      </c>
      <c r="O34" s="4">
        <v>6.363636</v>
      </c>
      <c r="P34" s="4">
        <v>30.0</v>
      </c>
      <c r="Q34" s="4">
        <v>2.727272</v>
      </c>
      <c r="R34" s="7">
        <v>0</v>
      </c>
      <c r="S34" s="7">
        <v>0</v>
      </c>
      <c r="T34" s="4">
        <v>2.5</v>
      </c>
      <c r="U34" s="8" t="s">
        <v>46</v>
      </c>
      <c r="V34" s="5">
        <v>2478.21</v>
      </c>
      <c r="W34" s="5">
        <v>35.403</v>
      </c>
      <c r="X34" s="5">
        <v>3500.94</v>
      </c>
      <c r="Y34" s="5">
        <v>50.013428571429</v>
      </c>
      <c r="Z34" s="5">
        <v>1022.73</v>
      </c>
      <c r="AA34" s="5">
        <v>14.610428571429</v>
      </c>
      <c r="AB34" s="10">
        <v>0.29213011362663</v>
      </c>
      <c r="AC34" s="4">
        <v>70.0</v>
      </c>
      <c r="AD34" s="7">
        <v>0</v>
      </c>
      <c r="AE34" s="7">
        <v>0</v>
      </c>
      <c r="AF34" s="7">
        <v>0</v>
      </c>
      <c r="AG34" s="3">
        <v>0</v>
      </c>
      <c r="AH34" s="7">
        <v>0</v>
      </c>
      <c r="AI34" s="7">
        <v>0</v>
      </c>
      <c r="AJ34" s="5">
        <v>1062.06</v>
      </c>
      <c r="AK34" s="5">
        <v>35.402</v>
      </c>
      <c r="AL34" s="5">
        <v>1682.25</v>
      </c>
      <c r="AM34" s="5">
        <v>56.075</v>
      </c>
      <c r="AN34" s="5">
        <v>620.19</v>
      </c>
      <c r="AO34" s="5">
        <v>20.673</v>
      </c>
      <c r="AP34" s="10">
        <v>0.36866696388765</v>
      </c>
      <c r="AQ34" s="4">
        <v>30.0</v>
      </c>
      <c r="AR34" s="7">
        <v>0</v>
      </c>
      <c r="AS34" s="7">
        <v>0</v>
      </c>
      <c r="AT34" s="7">
        <v>0</v>
      </c>
      <c r="AU34" s="3">
        <v>0</v>
      </c>
      <c r="AV34" s="7">
        <v>0</v>
      </c>
      <c r="AW34" s="7">
        <v>0</v>
      </c>
    </row>
    <row r="35" spans="1:49">
      <c r="A35" s="3">
        <v>33</v>
      </c>
      <c r="B35" s="3" t="s">
        <v>110</v>
      </c>
      <c r="C35" t="s">
        <v>111</v>
      </c>
      <c r="D35" s="3" t="s">
        <v>45</v>
      </c>
      <c r="E35" s="4">
        <v>200.0</v>
      </c>
      <c r="F35" s="5">
        <v>6686.6</v>
      </c>
      <c r="G35" s="7">
        <v>0</v>
      </c>
      <c r="H35" s="7">
        <v>0</v>
      </c>
      <c r="I35" s="7">
        <v>0</v>
      </c>
      <c r="J35" s="7">
        <v>0</v>
      </c>
      <c r="K35" s="4">
        <v>25.454534</v>
      </c>
      <c r="L35" s="5">
        <v>964.243202</v>
      </c>
      <c r="M35" s="6">
        <v>1.0</v>
      </c>
      <c r="N35" s="4">
        <v>100.0</v>
      </c>
      <c r="O35" s="4">
        <v>9.090909</v>
      </c>
      <c r="P35" s="4">
        <v>20.0</v>
      </c>
      <c r="Q35" s="4">
        <v>1.818181</v>
      </c>
      <c r="R35" s="7">
        <v>0</v>
      </c>
      <c r="S35" s="7">
        <v>0</v>
      </c>
      <c r="T35" s="4">
        <v>1.666666</v>
      </c>
      <c r="U35" s="8" t="s">
        <v>46</v>
      </c>
      <c r="V35" s="5">
        <v>3374.02</v>
      </c>
      <c r="W35" s="5">
        <v>33.7402</v>
      </c>
      <c r="X35" s="5">
        <v>4990.66</v>
      </c>
      <c r="Y35" s="5">
        <v>49.9066</v>
      </c>
      <c r="Z35" s="5">
        <v>1616.64</v>
      </c>
      <c r="AA35" s="5">
        <v>16.1664</v>
      </c>
      <c r="AB35" s="10">
        <v>0.32393310704396</v>
      </c>
      <c r="AC35" s="4">
        <v>100.0</v>
      </c>
      <c r="AD35" s="7">
        <v>0</v>
      </c>
      <c r="AE35" s="7">
        <v>0</v>
      </c>
      <c r="AF35" s="7">
        <v>0</v>
      </c>
      <c r="AG35" s="3">
        <v>0</v>
      </c>
      <c r="AH35" s="7">
        <v>0</v>
      </c>
      <c r="AI35" s="7">
        <v>0</v>
      </c>
      <c r="AJ35" s="5">
        <v>678.35</v>
      </c>
      <c r="AK35" s="5">
        <v>33.9175</v>
      </c>
      <c r="AL35" s="5">
        <v>1177.57</v>
      </c>
      <c r="AM35" s="5">
        <v>58.8785</v>
      </c>
      <c r="AN35" s="5">
        <v>499.22</v>
      </c>
      <c r="AO35" s="5">
        <v>24.961</v>
      </c>
      <c r="AP35" s="10">
        <v>0.42394082729689</v>
      </c>
      <c r="AQ35" s="4">
        <v>20.0</v>
      </c>
      <c r="AR35" s="7">
        <v>0</v>
      </c>
      <c r="AS35" s="7">
        <v>0</v>
      </c>
      <c r="AT35" s="7">
        <v>0</v>
      </c>
      <c r="AU35" s="3">
        <v>0</v>
      </c>
      <c r="AV35" s="7">
        <v>0</v>
      </c>
      <c r="AW35" s="7">
        <v>0</v>
      </c>
    </row>
    <row r="36" spans="1:49">
      <c r="A36" s="3">
        <v>34</v>
      </c>
      <c r="B36" s="3" t="s">
        <v>112</v>
      </c>
      <c r="C36" t="s">
        <v>113</v>
      </c>
      <c r="D36" s="3" t="s">
        <v>59</v>
      </c>
      <c r="E36" s="4">
        <v>100.0</v>
      </c>
      <c r="F36" s="5">
        <v>4347.7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15">
        <v>0</v>
      </c>
      <c r="N36" s="4">
        <v>60.0</v>
      </c>
      <c r="O36" s="4">
        <v>5.454545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8" t="s">
        <v>46</v>
      </c>
      <c r="V36" s="5">
        <v>2437.98</v>
      </c>
      <c r="W36" s="5">
        <v>40.633</v>
      </c>
      <c r="X36" s="5">
        <v>4142.06</v>
      </c>
      <c r="Y36" s="5">
        <v>69.034333333333</v>
      </c>
      <c r="Z36" s="5">
        <v>1704.08</v>
      </c>
      <c r="AA36" s="5">
        <v>28.401333333333</v>
      </c>
      <c r="AB36" s="10">
        <v>0.4114088159032</v>
      </c>
      <c r="AC36" s="4">
        <v>60.0</v>
      </c>
      <c r="AD36" s="7">
        <v>0</v>
      </c>
      <c r="AE36" s="7">
        <v>0</v>
      </c>
      <c r="AF36" s="7">
        <v>0</v>
      </c>
      <c r="AG36" s="3">
        <v>0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0</v>
      </c>
      <c r="AN36" s="7">
        <v>0</v>
      </c>
      <c r="AO36" s="7">
        <v>0</v>
      </c>
      <c r="AP36" s="3">
        <v>0</v>
      </c>
      <c r="AQ36" s="7">
        <v>0</v>
      </c>
      <c r="AR36" s="7">
        <v>0</v>
      </c>
      <c r="AS36" s="7">
        <v>0</v>
      </c>
      <c r="AT36" s="7">
        <v>0</v>
      </c>
      <c r="AU36" s="3">
        <v>0</v>
      </c>
      <c r="AV36" s="7">
        <v>0</v>
      </c>
      <c r="AW36" s="7">
        <v>0</v>
      </c>
    </row>
    <row r="37" spans="1:49">
      <c r="A37" s="3">
        <v>35</v>
      </c>
      <c r="B37" s="3" t="s">
        <v>114</v>
      </c>
      <c r="C37" t="s">
        <v>115</v>
      </c>
      <c r="D37" s="3" t="s">
        <v>45</v>
      </c>
      <c r="E37" s="4">
        <v>200.0</v>
      </c>
      <c r="F37" s="5">
        <v>6686.6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15">
        <v>0</v>
      </c>
      <c r="N37" s="4">
        <v>120.0</v>
      </c>
      <c r="O37" s="4">
        <v>10.90909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8" t="s">
        <v>46</v>
      </c>
      <c r="V37" s="5">
        <v>4082.1</v>
      </c>
      <c r="W37" s="5">
        <v>34.0175</v>
      </c>
      <c r="X37" s="5">
        <v>4841.14</v>
      </c>
      <c r="Y37" s="5">
        <v>40.342833333333</v>
      </c>
      <c r="Z37" s="5">
        <v>759.04</v>
      </c>
      <c r="AA37" s="5">
        <v>6.3253333333333</v>
      </c>
      <c r="AB37" s="9">
        <v>0.15678951651884</v>
      </c>
      <c r="AC37" s="4">
        <v>120.0</v>
      </c>
      <c r="AD37" s="7">
        <v>0</v>
      </c>
      <c r="AE37" s="7">
        <v>0</v>
      </c>
      <c r="AF37" s="7">
        <v>0</v>
      </c>
      <c r="AG37" s="3">
        <v>0</v>
      </c>
      <c r="AH37" s="7">
        <v>0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0</v>
      </c>
      <c r="AO37" s="7">
        <v>0</v>
      </c>
      <c r="AP37" s="3">
        <v>0</v>
      </c>
      <c r="AQ37" s="7">
        <v>0</v>
      </c>
      <c r="AR37" s="7">
        <v>0</v>
      </c>
      <c r="AS37" s="7">
        <v>0</v>
      </c>
      <c r="AT37" s="7">
        <v>0</v>
      </c>
      <c r="AU37" s="3">
        <v>0</v>
      </c>
      <c r="AV37" s="7">
        <v>0</v>
      </c>
      <c r="AW37" s="7">
        <v>0</v>
      </c>
    </row>
    <row r="38" spans="1:49">
      <c r="A38" s="3">
        <v>36</v>
      </c>
      <c r="B38" s="3" t="s">
        <v>116</v>
      </c>
      <c r="C38" t="s">
        <v>117</v>
      </c>
      <c r="D38" s="3" t="s">
        <v>59</v>
      </c>
      <c r="E38" s="4">
        <v>100.0</v>
      </c>
      <c r="F38" s="5">
        <v>3249.0</v>
      </c>
      <c r="G38" s="7">
        <v>0</v>
      </c>
      <c r="H38" s="7">
        <v>0</v>
      </c>
      <c r="I38" s="7">
        <v>0</v>
      </c>
      <c r="J38" s="7">
        <v>0</v>
      </c>
      <c r="K38" s="4">
        <v>50.909082</v>
      </c>
      <c r="L38" s="5">
        <v>1654.036074</v>
      </c>
      <c r="M38" s="6">
        <v>1.0</v>
      </c>
      <c r="N38" s="4">
        <v>60.0</v>
      </c>
      <c r="O38" s="4">
        <v>5.454545</v>
      </c>
      <c r="P38" s="4">
        <v>40.0</v>
      </c>
      <c r="Q38" s="4">
        <v>3.636363</v>
      </c>
      <c r="R38" s="7">
        <v>0</v>
      </c>
      <c r="S38" s="7">
        <v>0</v>
      </c>
      <c r="T38" s="4">
        <v>3.333333</v>
      </c>
      <c r="U38" s="8" t="s">
        <v>46</v>
      </c>
      <c r="V38" s="5">
        <v>1821.88</v>
      </c>
      <c r="W38" s="5">
        <v>30.364666666667</v>
      </c>
      <c r="X38" s="5">
        <v>2859.82</v>
      </c>
      <c r="Y38" s="5">
        <v>47.663666666667</v>
      </c>
      <c r="Z38" s="5">
        <v>1037.94</v>
      </c>
      <c r="AA38" s="5">
        <v>17.299</v>
      </c>
      <c r="AB38" s="10">
        <v>0.36293892622613</v>
      </c>
      <c r="AC38" s="4">
        <v>60.0</v>
      </c>
      <c r="AD38" s="7">
        <v>0</v>
      </c>
      <c r="AE38" s="7">
        <v>0</v>
      </c>
      <c r="AF38" s="7">
        <v>0</v>
      </c>
      <c r="AG38" s="3">
        <v>0</v>
      </c>
      <c r="AH38" s="7">
        <v>0</v>
      </c>
      <c r="AI38" s="7">
        <v>0</v>
      </c>
      <c r="AJ38" s="5">
        <v>1214.61</v>
      </c>
      <c r="AK38" s="5">
        <v>30.36525</v>
      </c>
      <c r="AL38" s="5">
        <v>2018.68</v>
      </c>
      <c r="AM38" s="5">
        <v>50.467</v>
      </c>
      <c r="AN38" s="5">
        <v>804.07</v>
      </c>
      <c r="AO38" s="5">
        <v>20.10175</v>
      </c>
      <c r="AP38" s="10">
        <v>0.39831474032536</v>
      </c>
      <c r="AQ38" s="4">
        <v>40.0</v>
      </c>
      <c r="AR38" s="7">
        <v>0</v>
      </c>
      <c r="AS38" s="7">
        <v>0</v>
      </c>
      <c r="AT38" s="7">
        <v>0</v>
      </c>
      <c r="AU38" s="3">
        <v>0</v>
      </c>
      <c r="AV38" s="7">
        <v>0</v>
      </c>
      <c r="AW38" s="7">
        <v>0</v>
      </c>
    </row>
    <row r="39" spans="1:49">
      <c r="A39" s="3">
        <v>37</v>
      </c>
      <c r="B39" s="3" t="s">
        <v>118</v>
      </c>
      <c r="C39" t="s">
        <v>119</v>
      </c>
      <c r="D39" s="3" t="s">
        <v>45</v>
      </c>
      <c r="E39" s="4">
        <v>300.0</v>
      </c>
      <c r="F39" s="5">
        <v>6798.0</v>
      </c>
      <c r="G39" s="7">
        <v>0</v>
      </c>
      <c r="H39" s="7">
        <v>0</v>
      </c>
      <c r="I39" s="4">
        <v>100.0</v>
      </c>
      <c r="J39" s="5">
        <v>2437.0</v>
      </c>
      <c r="K39" s="4">
        <v>129.818178</v>
      </c>
      <c r="L39" s="5">
        <v>3163.668998</v>
      </c>
      <c r="M39" s="6">
        <v>0.22969185409458</v>
      </c>
      <c r="N39" s="4">
        <v>90.0</v>
      </c>
      <c r="O39" s="4">
        <v>8.181818</v>
      </c>
      <c r="P39" s="4">
        <v>102.0</v>
      </c>
      <c r="Q39" s="4">
        <v>9.272727</v>
      </c>
      <c r="R39" s="4">
        <v>30.0</v>
      </c>
      <c r="S39" s="5">
        <v>731.1</v>
      </c>
      <c r="T39" s="4">
        <v>8.5</v>
      </c>
      <c r="U39" s="13">
        <v>3.5294117647059</v>
      </c>
      <c r="V39" s="5">
        <v>2049.82</v>
      </c>
      <c r="W39" s="5">
        <v>22.775777777778</v>
      </c>
      <c r="X39" s="5">
        <v>1859.798</v>
      </c>
      <c r="Y39" s="5">
        <v>20.664422222222</v>
      </c>
      <c r="Z39" s="5">
        <v>-190.022</v>
      </c>
      <c r="AA39" s="5">
        <v>-2.1113555555556</v>
      </c>
      <c r="AB39" s="11">
        <v>-0.10217346184908</v>
      </c>
      <c r="AC39" s="4">
        <v>90.0</v>
      </c>
      <c r="AD39" s="7">
        <v>0</v>
      </c>
      <c r="AE39" s="7">
        <v>0</v>
      </c>
      <c r="AF39" s="7">
        <v>0</v>
      </c>
      <c r="AG39" s="3">
        <v>0</v>
      </c>
      <c r="AH39" s="7">
        <v>0</v>
      </c>
      <c r="AI39" s="7">
        <v>0</v>
      </c>
      <c r="AJ39" s="5">
        <v>2459.15</v>
      </c>
      <c r="AK39" s="5">
        <v>24.10931372549</v>
      </c>
      <c r="AL39" s="5">
        <v>3364.502</v>
      </c>
      <c r="AM39" s="5">
        <v>32.98531372549</v>
      </c>
      <c r="AN39" s="5">
        <v>905.352</v>
      </c>
      <c r="AO39" s="5">
        <v>8.876</v>
      </c>
      <c r="AP39" s="10">
        <v>0.26908945216855</v>
      </c>
      <c r="AQ39" s="4">
        <v>102.0</v>
      </c>
      <c r="AR39" s="7">
        <v>0</v>
      </c>
      <c r="AS39" s="7">
        <v>0</v>
      </c>
      <c r="AT39" s="7">
        <v>0</v>
      </c>
      <c r="AU39" s="3">
        <v>0</v>
      </c>
      <c r="AV39" s="7">
        <v>0</v>
      </c>
      <c r="AW39" s="7">
        <v>0</v>
      </c>
    </row>
    <row r="40" spans="1:49">
      <c r="A40" s="3">
        <v>38</v>
      </c>
      <c r="B40" s="3" t="s">
        <v>120</v>
      </c>
      <c r="C40" t="s">
        <v>121</v>
      </c>
      <c r="D40" s="3" t="s">
        <v>45</v>
      </c>
      <c r="E40" s="4">
        <v>100.0</v>
      </c>
      <c r="F40" s="5">
        <v>2710.2</v>
      </c>
      <c r="G40" s="7">
        <v>0</v>
      </c>
      <c r="H40" s="7">
        <v>0</v>
      </c>
      <c r="I40" s="7">
        <v>0</v>
      </c>
      <c r="J40" s="7">
        <v>0</v>
      </c>
      <c r="K40" s="4">
        <v>19.090904</v>
      </c>
      <c r="L40" s="5">
        <v>517.40168</v>
      </c>
      <c r="M40" s="6">
        <v>1.0</v>
      </c>
      <c r="N40" s="4">
        <v>27.0</v>
      </c>
      <c r="O40" s="4">
        <v>2.454545</v>
      </c>
      <c r="P40" s="4">
        <v>15.0</v>
      </c>
      <c r="Q40" s="4">
        <v>1.363636</v>
      </c>
      <c r="R40" s="4">
        <v>59.0</v>
      </c>
      <c r="S40" s="5">
        <v>1599.018</v>
      </c>
      <c r="T40" s="4">
        <v>1.25</v>
      </c>
      <c r="U40" s="12">
        <v>47.2</v>
      </c>
      <c r="V40" s="5">
        <v>625.22</v>
      </c>
      <c r="W40" s="5">
        <v>23.156296296296</v>
      </c>
      <c r="X40" s="5">
        <v>607.48</v>
      </c>
      <c r="Y40" s="5">
        <v>22.499259259259</v>
      </c>
      <c r="Z40" s="5">
        <v>-17.74</v>
      </c>
      <c r="AA40" s="5">
        <v>-0.65703703703704</v>
      </c>
      <c r="AB40" s="11">
        <v>-0.029202607493251</v>
      </c>
      <c r="AC40" s="4">
        <v>27.0</v>
      </c>
      <c r="AD40" s="7">
        <v>0</v>
      </c>
      <c r="AE40" s="7">
        <v>0</v>
      </c>
      <c r="AF40" s="7">
        <v>0</v>
      </c>
      <c r="AG40" s="3">
        <v>0</v>
      </c>
      <c r="AH40" s="7">
        <v>0</v>
      </c>
      <c r="AI40" s="7">
        <v>0</v>
      </c>
      <c r="AJ40" s="5">
        <v>399.09</v>
      </c>
      <c r="AK40" s="5">
        <v>26.606</v>
      </c>
      <c r="AL40" s="5">
        <v>364.49</v>
      </c>
      <c r="AM40" s="5">
        <v>24.299333333333</v>
      </c>
      <c r="AN40" s="5">
        <v>-34.6</v>
      </c>
      <c r="AO40" s="5">
        <v>-2.3066666666667</v>
      </c>
      <c r="AP40" s="11">
        <v>-0.094927158495432</v>
      </c>
      <c r="AQ40" s="4">
        <v>15.0</v>
      </c>
      <c r="AR40" s="7">
        <v>0</v>
      </c>
      <c r="AS40" s="7">
        <v>0</v>
      </c>
      <c r="AT40" s="7">
        <v>0</v>
      </c>
      <c r="AU40" s="3">
        <v>0</v>
      </c>
      <c r="AV40" s="7">
        <v>0</v>
      </c>
      <c r="AW40" s="7">
        <v>0</v>
      </c>
    </row>
    <row r="41" spans="1:49">
      <c r="A41" s="3">
        <v>39</v>
      </c>
      <c r="B41" s="3" t="s">
        <v>122</v>
      </c>
      <c r="C41" t="s">
        <v>123</v>
      </c>
      <c r="D41" s="3" t="s">
        <v>45</v>
      </c>
      <c r="E41" s="4">
        <v>100.0</v>
      </c>
      <c r="F41" s="5">
        <v>3249.0</v>
      </c>
      <c r="G41" s="7">
        <v>0</v>
      </c>
      <c r="H41" s="7">
        <v>0</v>
      </c>
      <c r="I41" s="7">
        <v>0</v>
      </c>
      <c r="J41" s="7">
        <v>0</v>
      </c>
      <c r="K41" s="4">
        <v>63.636356</v>
      </c>
      <c r="L41" s="5">
        <v>2067.545206</v>
      </c>
      <c r="M41" s="6">
        <v>1.0</v>
      </c>
      <c r="N41" s="4">
        <v>61.0</v>
      </c>
      <c r="O41" s="4">
        <v>5.545454</v>
      </c>
      <c r="P41" s="4">
        <v>50.0</v>
      </c>
      <c r="Q41" s="4">
        <v>4.545454</v>
      </c>
      <c r="R41" s="4">
        <v>5.0</v>
      </c>
      <c r="S41" s="5">
        <v>162.45</v>
      </c>
      <c r="T41" s="4">
        <v>4.166666</v>
      </c>
      <c r="U41" s="13">
        <v>1.200000192</v>
      </c>
      <c r="V41" s="5">
        <v>1718.17</v>
      </c>
      <c r="W41" s="5">
        <v>28.166721311475</v>
      </c>
      <c r="X41" s="5">
        <v>2004.695</v>
      </c>
      <c r="Y41" s="5">
        <v>32.863852459016</v>
      </c>
      <c r="Z41" s="5">
        <v>286.525</v>
      </c>
      <c r="AA41" s="5">
        <v>4.697131147541</v>
      </c>
      <c r="AB41" s="9">
        <v>0.14292697891699</v>
      </c>
      <c r="AC41" s="4">
        <v>61.0</v>
      </c>
      <c r="AD41" s="7">
        <v>0</v>
      </c>
      <c r="AE41" s="7">
        <v>0</v>
      </c>
      <c r="AF41" s="7">
        <v>0</v>
      </c>
      <c r="AG41" s="3">
        <v>0</v>
      </c>
      <c r="AH41" s="7">
        <v>0</v>
      </c>
      <c r="AI41" s="7">
        <v>0</v>
      </c>
      <c r="AJ41" s="5">
        <v>1581.88</v>
      </c>
      <c r="AK41" s="5">
        <v>31.6376</v>
      </c>
      <c r="AL41" s="5">
        <v>1607.463</v>
      </c>
      <c r="AM41" s="5">
        <v>32.14926</v>
      </c>
      <c r="AN41" s="5">
        <v>25.583</v>
      </c>
      <c r="AO41" s="5">
        <v>0.51166</v>
      </c>
      <c r="AP41" s="9">
        <v>0.015915140815061</v>
      </c>
      <c r="AQ41" s="4">
        <v>50.0</v>
      </c>
      <c r="AR41" s="7">
        <v>0</v>
      </c>
      <c r="AS41" s="7">
        <v>0</v>
      </c>
      <c r="AT41" s="7">
        <v>0</v>
      </c>
      <c r="AU41" s="3">
        <v>0</v>
      </c>
      <c r="AV41" s="7">
        <v>0</v>
      </c>
      <c r="AW41" s="7">
        <v>0</v>
      </c>
    </row>
    <row r="42" spans="1:49">
      <c r="A42" s="3">
        <v>40</v>
      </c>
      <c r="B42" s="3" t="s">
        <v>124</v>
      </c>
      <c r="C42" t="s">
        <v>125</v>
      </c>
      <c r="D42" s="3" t="s">
        <v>45</v>
      </c>
      <c r="E42" s="4">
        <v>200.0</v>
      </c>
      <c r="F42" s="5">
        <v>7271.5</v>
      </c>
      <c r="G42" s="7">
        <v>0</v>
      </c>
      <c r="H42" s="7">
        <v>0</v>
      </c>
      <c r="I42" s="7">
        <v>0</v>
      </c>
      <c r="J42" s="7">
        <v>0</v>
      </c>
      <c r="K42" s="4">
        <v>52.181808</v>
      </c>
      <c r="L42" s="5">
        <v>2120.45995</v>
      </c>
      <c r="M42" s="6">
        <v>1.0</v>
      </c>
      <c r="N42" s="4">
        <v>35.0</v>
      </c>
      <c r="O42" s="4">
        <v>3.181818</v>
      </c>
      <c r="P42" s="4">
        <v>41.0</v>
      </c>
      <c r="Q42" s="4">
        <v>3.727272</v>
      </c>
      <c r="R42" s="4">
        <v>40.0</v>
      </c>
      <c r="S42" s="5">
        <v>1625.44</v>
      </c>
      <c r="T42" s="4">
        <v>3.416666</v>
      </c>
      <c r="U42" s="12">
        <v>11.707319357526</v>
      </c>
      <c r="V42" s="5">
        <v>1185.28</v>
      </c>
      <c r="W42" s="5">
        <v>33.865142857143</v>
      </c>
      <c r="X42" s="5">
        <v>1348.58</v>
      </c>
      <c r="Y42" s="5">
        <v>38.530857142857</v>
      </c>
      <c r="Z42" s="5">
        <v>163.3</v>
      </c>
      <c r="AA42" s="5">
        <v>4.6657142857143</v>
      </c>
      <c r="AB42" s="9">
        <v>0.12109033205297</v>
      </c>
      <c r="AC42" s="4">
        <v>35.0</v>
      </c>
      <c r="AD42" s="7">
        <v>0</v>
      </c>
      <c r="AE42" s="7">
        <v>0</v>
      </c>
      <c r="AF42" s="7">
        <v>0</v>
      </c>
      <c r="AG42" s="3">
        <v>0</v>
      </c>
      <c r="AH42" s="7">
        <v>0</v>
      </c>
      <c r="AI42" s="7">
        <v>0</v>
      </c>
      <c r="AJ42" s="5">
        <v>1586.32</v>
      </c>
      <c r="AK42" s="5">
        <v>38.690731707317</v>
      </c>
      <c r="AL42" s="5">
        <v>1831.797</v>
      </c>
      <c r="AM42" s="5">
        <v>44.677975609756</v>
      </c>
      <c r="AN42" s="5">
        <v>245.477</v>
      </c>
      <c r="AO42" s="5">
        <v>5.987243902439</v>
      </c>
      <c r="AP42" s="9">
        <v>0.13400884486654</v>
      </c>
      <c r="AQ42" s="4">
        <v>41.0</v>
      </c>
      <c r="AR42" s="7">
        <v>0</v>
      </c>
      <c r="AS42" s="7">
        <v>0</v>
      </c>
      <c r="AT42" s="7">
        <v>0</v>
      </c>
      <c r="AU42" s="3">
        <v>0</v>
      </c>
      <c r="AV42" s="7">
        <v>0</v>
      </c>
      <c r="AW42" s="7">
        <v>0</v>
      </c>
    </row>
    <row r="43" spans="1:49">
      <c r="A43" s="3">
        <v>41</v>
      </c>
      <c r="B43" s="3" t="s">
        <v>126</v>
      </c>
      <c r="C43" t="s">
        <v>127</v>
      </c>
      <c r="D43" s="3" t="s">
        <v>45</v>
      </c>
      <c r="E43" s="4">
        <v>100.0</v>
      </c>
      <c r="F43" s="5">
        <v>4332.1</v>
      </c>
      <c r="G43" s="7">
        <v>0</v>
      </c>
      <c r="H43" s="7">
        <v>0</v>
      </c>
      <c r="I43" s="7">
        <v>0</v>
      </c>
      <c r="J43" s="7">
        <v>0</v>
      </c>
      <c r="K43" s="4">
        <v>12.72726</v>
      </c>
      <c r="L43" s="5">
        <v>551.35763</v>
      </c>
      <c r="M43" s="6">
        <v>1.0</v>
      </c>
      <c r="N43" s="4">
        <v>60.0</v>
      </c>
      <c r="O43" s="4">
        <v>5.454545</v>
      </c>
      <c r="P43" s="4">
        <v>10.0</v>
      </c>
      <c r="Q43" s="4">
        <v>0.90909</v>
      </c>
      <c r="R43" s="4">
        <v>70.0</v>
      </c>
      <c r="S43" s="5">
        <v>3032.47</v>
      </c>
      <c r="T43" s="4">
        <v>0.833333</v>
      </c>
      <c r="U43" s="12">
        <v>84.000033600013</v>
      </c>
      <c r="V43" s="5">
        <v>2088.71</v>
      </c>
      <c r="W43" s="5">
        <v>34.811833333333</v>
      </c>
      <c r="X43" s="5">
        <v>2915.88</v>
      </c>
      <c r="Y43" s="5">
        <v>48.598</v>
      </c>
      <c r="Z43" s="5">
        <v>827.17</v>
      </c>
      <c r="AA43" s="5">
        <v>13.786166666667</v>
      </c>
      <c r="AB43" s="10">
        <v>0.28367765477317</v>
      </c>
      <c r="AC43" s="4">
        <v>60.0</v>
      </c>
      <c r="AD43" s="7">
        <v>0</v>
      </c>
      <c r="AE43" s="7">
        <v>0</v>
      </c>
      <c r="AF43" s="7">
        <v>0</v>
      </c>
      <c r="AG43" s="3">
        <v>0</v>
      </c>
      <c r="AH43" s="7">
        <v>0</v>
      </c>
      <c r="AI43" s="7">
        <v>0</v>
      </c>
      <c r="AJ43" s="5">
        <v>412.04</v>
      </c>
      <c r="AK43" s="5">
        <v>41.204</v>
      </c>
      <c r="AL43" s="5">
        <v>532.71</v>
      </c>
      <c r="AM43" s="5">
        <v>53.271</v>
      </c>
      <c r="AN43" s="5">
        <v>120.67</v>
      </c>
      <c r="AO43" s="5">
        <v>12.067</v>
      </c>
      <c r="AP43" s="9">
        <v>0.22652099641456</v>
      </c>
      <c r="AQ43" s="4">
        <v>10.0</v>
      </c>
      <c r="AR43" s="7">
        <v>0</v>
      </c>
      <c r="AS43" s="7">
        <v>0</v>
      </c>
      <c r="AT43" s="7">
        <v>0</v>
      </c>
      <c r="AU43" s="3">
        <v>0</v>
      </c>
      <c r="AV43" s="7">
        <v>0</v>
      </c>
      <c r="AW43" s="7">
        <v>0</v>
      </c>
    </row>
    <row r="44" spans="1:49">
      <c r="A44" s="3">
        <v>42</v>
      </c>
      <c r="B44" s="3" t="s">
        <v>128</v>
      </c>
      <c r="C44" t="s">
        <v>129</v>
      </c>
      <c r="D44" s="3" t="s">
        <v>45</v>
      </c>
      <c r="E44" s="4">
        <v>100.0</v>
      </c>
      <c r="F44" s="5">
        <v>2779.0</v>
      </c>
      <c r="G44" s="7">
        <v>0</v>
      </c>
      <c r="H44" s="7">
        <v>0</v>
      </c>
      <c r="I44" s="4">
        <v>100.0</v>
      </c>
      <c r="J44" s="5">
        <v>3520.0</v>
      </c>
      <c r="K44" s="4">
        <v>25.454534</v>
      </c>
      <c r="L44" s="5">
        <v>895.999597</v>
      </c>
      <c r="M44" s="14">
        <v>-2.9285731964294</v>
      </c>
      <c r="N44" s="4">
        <v>7.0</v>
      </c>
      <c r="O44" s="4">
        <v>0.636363</v>
      </c>
      <c r="P44" s="4">
        <v>20.0</v>
      </c>
      <c r="Q44" s="4">
        <v>1.818181</v>
      </c>
      <c r="R44" s="4">
        <v>80.0</v>
      </c>
      <c r="S44" s="5">
        <v>2816.0</v>
      </c>
      <c r="T44" s="4">
        <v>1.666666</v>
      </c>
      <c r="U44" s="12">
        <v>48.000019200008</v>
      </c>
      <c r="V44" s="5">
        <v>181.81</v>
      </c>
      <c r="W44" s="5">
        <v>25.972857142857</v>
      </c>
      <c r="X44" s="7">
        <v>0</v>
      </c>
      <c r="Y44" s="5">
        <v>0.0</v>
      </c>
      <c r="Z44" s="5">
        <v>-181.81</v>
      </c>
      <c r="AA44" s="5">
        <v>-25.972857142857</v>
      </c>
      <c r="AB44" s="17">
        <v>0</v>
      </c>
      <c r="AC44" s="4">
        <v>7.0</v>
      </c>
      <c r="AD44" s="7">
        <v>0</v>
      </c>
      <c r="AE44" s="7">
        <v>0</v>
      </c>
      <c r="AF44" s="7">
        <v>0</v>
      </c>
      <c r="AG44" s="3">
        <v>0</v>
      </c>
      <c r="AH44" s="7">
        <v>0</v>
      </c>
      <c r="AI44" s="7">
        <v>0</v>
      </c>
      <c r="AJ44" s="5">
        <v>657.94</v>
      </c>
      <c r="AK44" s="5">
        <v>32.897</v>
      </c>
      <c r="AL44" s="5">
        <v>897.2</v>
      </c>
      <c r="AM44" s="5">
        <v>44.86</v>
      </c>
      <c r="AN44" s="5">
        <v>239.26</v>
      </c>
      <c r="AO44" s="5">
        <v>11.963</v>
      </c>
      <c r="AP44" s="10">
        <v>0.26667409719126</v>
      </c>
      <c r="AQ44" s="4">
        <v>20.0</v>
      </c>
      <c r="AR44" s="7">
        <v>0</v>
      </c>
      <c r="AS44" s="7">
        <v>0</v>
      </c>
      <c r="AT44" s="7">
        <v>0</v>
      </c>
      <c r="AU44" s="3">
        <v>0</v>
      </c>
      <c r="AV44" s="7">
        <v>0</v>
      </c>
      <c r="AW44" s="7">
        <v>0</v>
      </c>
    </row>
    <row r="45" spans="1:49">
      <c r="A45" s="3">
        <v>43</v>
      </c>
      <c r="B45" s="3" t="s">
        <v>130</v>
      </c>
      <c r="C45" t="s">
        <v>131</v>
      </c>
      <c r="D45" s="3" t="s">
        <v>45</v>
      </c>
      <c r="E45" s="4">
        <v>100.0</v>
      </c>
      <c r="F45" s="5">
        <v>3491.9</v>
      </c>
      <c r="G45" s="7">
        <v>0</v>
      </c>
      <c r="H45" s="7">
        <v>0</v>
      </c>
      <c r="I45" s="7">
        <v>0</v>
      </c>
      <c r="J45" s="7">
        <v>0</v>
      </c>
      <c r="K45" s="4">
        <v>25.454534</v>
      </c>
      <c r="L45" s="5">
        <v>888.846873</v>
      </c>
      <c r="M45" s="6">
        <v>1.0</v>
      </c>
      <c r="N45" s="7">
        <v>0</v>
      </c>
      <c r="O45" s="7">
        <v>0</v>
      </c>
      <c r="P45" s="4">
        <v>20.0</v>
      </c>
      <c r="Q45" s="4">
        <v>1.818181</v>
      </c>
      <c r="R45" s="4">
        <v>50.0</v>
      </c>
      <c r="S45" s="5">
        <v>1745.95</v>
      </c>
      <c r="T45" s="4">
        <v>1.666666</v>
      </c>
      <c r="U45" s="12">
        <v>30.000012000005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3">
        <v>0</v>
      </c>
      <c r="AC45" s="7">
        <v>0</v>
      </c>
      <c r="AD45" s="7">
        <v>0</v>
      </c>
      <c r="AE45" s="7">
        <v>0</v>
      </c>
      <c r="AF45" s="7">
        <v>0</v>
      </c>
      <c r="AG45" s="3">
        <v>0</v>
      </c>
      <c r="AH45" s="7">
        <v>0</v>
      </c>
      <c r="AI45" s="7">
        <v>0</v>
      </c>
      <c r="AJ45" s="5">
        <v>652.7</v>
      </c>
      <c r="AK45" s="5">
        <v>32.635</v>
      </c>
      <c r="AL45" s="5">
        <v>1271.02</v>
      </c>
      <c r="AM45" s="5">
        <v>63.551</v>
      </c>
      <c r="AN45" s="5">
        <v>618.32</v>
      </c>
      <c r="AO45" s="5">
        <v>30.916</v>
      </c>
      <c r="AP45" s="10">
        <v>0.48647542918286</v>
      </c>
      <c r="AQ45" s="4">
        <v>20.0</v>
      </c>
      <c r="AR45" s="7">
        <v>0</v>
      </c>
      <c r="AS45" s="7">
        <v>0</v>
      </c>
      <c r="AT45" s="7">
        <v>0</v>
      </c>
      <c r="AU45" s="3">
        <v>0</v>
      </c>
      <c r="AV45" s="7">
        <v>0</v>
      </c>
      <c r="AW45" s="7">
        <v>0</v>
      </c>
    </row>
    <row r="46" spans="1:49">
      <c r="A46" s="3">
        <v>44</v>
      </c>
      <c r="B46" s="3" t="s">
        <v>132</v>
      </c>
      <c r="C46" t="s">
        <v>133</v>
      </c>
      <c r="D46" s="3" t="s">
        <v>45</v>
      </c>
      <c r="E46" s="4">
        <v>100.0</v>
      </c>
      <c r="F46" s="5">
        <v>5267.8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15">
        <v>0</v>
      </c>
      <c r="N46" s="4">
        <v>70.0</v>
      </c>
      <c r="O46" s="4">
        <v>6.363636</v>
      </c>
      <c r="P46" s="7">
        <v>0</v>
      </c>
      <c r="Q46" s="7">
        <v>0</v>
      </c>
      <c r="R46" s="4">
        <v>35.0</v>
      </c>
      <c r="S46" s="5">
        <v>1843.73</v>
      </c>
      <c r="T46" s="7">
        <v>0</v>
      </c>
      <c r="U46" s="8" t="s">
        <v>46</v>
      </c>
      <c r="V46" s="5">
        <v>3394.43</v>
      </c>
      <c r="W46" s="5">
        <v>48.491857142857</v>
      </c>
      <c r="X46" s="5">
        <v>5315.38</v>
      </c>
      <c r="Y46" s="5">
        <v>75.934</v>
      </c>
      <c r="Z46" s="5">
        <v>1920.95</v>
      </c>
      <c r="AA46" s="5">
        <v>27.442142857143</v>
      </c>
      <c r="AB46" s="10">
        <v>0.36139466980724</v>
      </c>
      <c r="AC46" s="4">
        <v>70.0</v>
      </c>
      <c r="AD46" s="7">
        <v>0</v>
      </c>
      <c r="AE46" s="7">
        <v>0</v>
      </c>
      <c r="AF46" s="7">
        <v>0</v>
      </c>
      <c r="AG46" s="3">
        <v>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3">
        <v>0</v>
      </c>
      <c r="AQ46" s="7">
        <v>0</v>
      </c>
      <c r="AR46" s="7">
        <v>0</v>
      </c>
      <c r="AS46" s="7">
        <v>0</v>
      </c>
      <c r="AT46" s="7">
        <v>0</v>
      </c>
      <c r="AU46" s="3">
        <v>0</v>
      </c>
      <c r="AV46" s="7">
        <v>0</v>
      </c>
      <c r="AW46" s="7">
        <v>0</v>
      </c>
    </row>
    <row r="47" spans="1:49">
      <c r="A47" s="1" t="s">
        <v>134</v>
      </c>
      <c r="B47" s="1"/>
      <c r="C47" s="1"/>
      <c r="D47" s="1"/>
      <c r="E47" s="1"/>
      <c r="F47" s="18">
        <f>SUM(F3:F47)</f>
        <v>225010.5</v>
      </c>
      <c r="G47" s="1"/>
      <c r="H47" s="18">
        <f>SUM(H3:H47)</f>
        <v>128666.2</v>
      </c>
      <c r="I47" s="1"/>
      <c r="J47" s="18">
        <f>SUM(J3:J47)</f>
        <v>57412.4</v>
      </c>
      <c r="K47" s="1"/>
      <c r="L47" s="18">
        <f>SUM(L3:L47)</f>
        <v>98598.93281</v>
      </c>
      <c r="M47" s="1"/>
      <c r="N47" s="1"/>
      <c r="O47" s="1"/>
      <c r="P47" s="1"/>
      <c r="Q47" s="1"/>
      <c r="R47" s="1"/>
      <c r="S47" s="18">
        <f>SUM(S3:S47)</f>
        <v>40550.478</v>
      </c>
      <c r="T47" s="1"/>
      <c r="U47" s="1"/>
      <c r="V47" s="18">
        <f>SUM(V3:V47)</f>
        <v>177909.782</v>
      </c>
      <c r="W47" s="1"/>
      <c r="X47" s="18">
        <f>SUM(X3:X47)</f>
        <v>227556.883</v>
      </c>
      <c r="Y47" s="1"/>
      <c r="Z47" s="18">
        <f>SUM(Z3:Z47)</f>
        <v>49647.101</v>
      </c>
      <c r="AA47" s="1"/>
      <c r="AB47" s="1"/>
      <c r="AC47" s="1"/>
      <c r="AD47" s="1"/>
      <c r="AE47" s="1"/>
      <c r="AF47" s="18">
        <f>SUM(AF3:AF47)</f>
        <v>0</v>
      </c>
      <c r="AG47" s="1"/>
      <c r="AH47" s="1"/>
      <c r="AI47" s="18">
        <f>SUM(AI3:AI47)</f>
        <v>0</v>
      </c>
      <c r="AJ47" s="18">
        <f>SUM(AJ3:V47)</f>
        <v>991760.06996495</v>
      </c>
      <c r="AK47" s="1"/>
      <c r="AL47" s="18">
        <f>SUM(AL3:AL47)</f>
        <v>103295.095</v>
      </c>
      <c r="AM47" s="1"/>
      <c r="AN47" s="18">
        <f>SUM(AN3:AN47)</f>
        <v>30699.917</v>
      </c>
      <c r="AO47" s="1"/>
      <c r="AP47" s="1"/>
      <c r="AQ47" s="1"/>
      <c r="AR47" s="1"/>
      <c r="AS47" s="1"/>
      <c r="AT47" s="18">
        <f>SUM(AT3:AT47)</f>
        <v>0</v>
      </c>
      <c r="AU47" s="1"/>
      <c r="AV47" s="1"/>
      <c r="AW47" s="18">
        <f>SUM(AW3:AW47)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47:D4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1"/>
  <sheetViews>
    <sheetView tabSelected="0" workbookViewId="0" showGridLines="true" showRowColHeaders="1">
      <pane ySplit="1" topLeftCell="A2" activePane="bottomLeft" state="frozen"/>
      <selection pane="bottomLeft" activeCell="A1" sqref="A1:AJ1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135</v>
      </c>
      <c r="C1" s="1" t="s">
        <v>136</v>
      </c>
      <c r="D1" s="1" t="s">
        <v>137</v>
      </c>
      <c r="E1" s="1" t="s">
        <v>138</v>
      </c>
      <c r="F1" s="1" t="s">
        <v>1</v>
      </c>
      <c r="G1" s="1" t="s">
        <v>2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143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2023-12-29T12:49:31+07:00</dcterms:created>
  <dcterms:modified xsi:type="dcterms:W3CDTF">2023-12-29T12:49:31+07:00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