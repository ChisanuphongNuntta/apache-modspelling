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<sst xmlns="http://schemas.openxmlformats.org/spreadsheetml/2006/main" uniqueCount="63">
  <si>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</si>
  <si>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</si>
  <si>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</si>
  <si>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</si>
  <si>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</si>
  <si>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</si>
  <si>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</si>
  <si>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</si>
  <si>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</si>
  <si>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</si>
  <si>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</si>
  <si>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</si>
  <si>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</si>
  <si>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</si>
  <si>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</si>
  <si>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</si>
  <si>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</si>
  <si>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</si>
  <si>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</si>
  <si>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</si>
  <si>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</si>
  <si>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</si>
  <si>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</si>
  <si>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</si>
  <si>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</si>
  <si>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</si>
  <si>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</si>
  <si>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</si>
  <si>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</si>
  <si>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</si>
  <si>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</si>
  <si>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</si>
  <si>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</si>
  <si>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</si>
  <si>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</si>
  <si>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</si>
  <si>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</si>
  <si>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</si>
  <si>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</si>
  <si>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</si>
  <si>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</si>
  <si>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</si>
  <si>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</si>
  <si>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07-041-014</t>
  </si>
  <si>
    <t>F50 BP14 ลิ้นปืน(ยาว) K</t>
  </si>
  <si>
    <t>D23</t>
  </si>
  <si>
    <t>DEAD</t>
  </si>
  <si>
    <t>07-003-017</t>
  </si>
  <si>
    <t>1013J-BP17 บัมเปอร์กันกระแทก K</t>
  </si>
  <si>
    <t>A</t>
  </si>
  <si>
    <t>07-005-430</t>
  </si>
  <si>
    <t>K440 MP09 สปริงรางเดี่ยวKING</t>
  </si>
  <si>
    <t>D22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</si>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</sst>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" sqref="AW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3.0</v>
      </c>
      <c r="F3" s="5">
        <v>900.0</v>
      </c>
      <c r="G3" s="4">
        <v>111.0</v>
      </c>
      <c r="H3" s="5">
        <v>39450.0</v>
      </c>
      <c r="I3" s="6">
        <v>0</v>
      </c>
      <c r="J3" s="6">
        <v>0</v>
      </c>
      <c r="K3" s="4">
        <v>329.636356</v>
      </c>
      <c r="L3" s="5">
        <v>117020.90638</v>
      </c>
      <c r="M3" s="7">
        <v>0.66326529832165</v>
      </c>
      <c r="N3" s="4">
        <v>251.0</v>
      </c>
      <c r="O3" s="4">
        <v>23.545454</v>
      </c>
      <c r="P3" s="4">
        <v>5.0</v>
      </c>
      <c r="Q3" s="4">
        <v>5.0</v>
      </c>
      <c r="R3" s="6">
        <v>0</v>
      </c>
      <c r="S3" s="6">
        <v>0</v>
      </c>
      <c r="T3" s="4">
        <v>37.333333</v>
      </c>
      <c r="U3" s="8" t="s">
        <v>46</v>
      </c>
      <c r="V3" s="5">
        <v>80338.01</v>
      </c>
      <c r="W3" s="5">
        <v>320.07175298805</v>
      </c>
      <c r="X3" s="5">
        <v>84858.323</v>
      </c>
      <c r="Y3" s="5">
        <v>338.08096812749</v>
      </c>
      <c r="Z3" s="5">
        <v>4520.313</v>
      </c>
      <c r="AA3" s="5">
        <v>18.009215139442</v>
      </c>
      <c r="AB3" s="9">
        <v>0.053268940985317</v>
      </c>
      <c r="AC3" s="4">
        <v>251.0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1775.0</v>
      </c>
      <c r="AK3" s="5">
        <v>355.0</v>
      </c>
      <c r="AL3" s="5">
        <v>2102.805</v>
      </c>
      <c r="AM3" s="5">
        <v>420.561</v>
      </c>
      <c r="AN3" s="5">
        <v>327.805</v>
      </c>
      <c r="AO3" s="5">
        <v>65.561</v>
      </c>
      <c r="AP3" s="9">
        <v>0.15588939535525</v>
      </c>
      <c r="AQ3" s="4">
        <v>5.0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47</v>
      </c>
      <c r="C4" t="s">
        <v>48</v>
      </c>
      <c r="D4" s="3" t="s">
        <v>49</v>
      </c>
      <c r="E4" s="4">
        <v>500.0</v>
      </c>
      <c r="F4" s="5">
        <v>9000.0</v>
      </c>
      <c r="G4" s="6">
        <v>0</v>
      </c>
      <c r="H4" s="6">
        <v>0</v>
      </c>
      <c r="I4" s="6">
        <v>0</v>
      </c>
      <c r="J4" s="6">
        <v>0</v>
      </c>
      <c r="K4" s="4">
        <v>344.909082</v>
      </c>
      <c r="L4" s="5">
        <v>7425.892535</v>
      </c>
      <c r="M4" s="7">
        <v>1.0</v>
      </c>
      <c r="N4" s="4">
        <v>271.0</v>
      </c>
      <c r="O4" s="4">
        <v>24.636363</v>
      </c>
      <c r="P4" s="6">
        <v>0</v>
      </c>
      <c r="Q4" s="6">
        <v>0</v>
      </c>
      <c r="R4" s="4">
        <v>2249.0</v>
      </c>
      <c r="S4" s="5">
        <v>48420.97</v>
      </c>
      <c r="T4" s="4">
        <v>36.5</v>
      </c>
      <c r="U4" s="10">
        <v>61.616438356164</v>
      </c>
      <c r="V4" s="5">
        <v>4414.169</v>
      </c>
      <c r="W4" s="5">
        <v>16.288446494465</v>
      </c>
      <c r="X4" s="5">
        <v>6621.615</v>
      </c>
      <c r="Y4" s="5">
        <v>24.434003690037</v>
      </c>
      <c r="Z4" s="5">
        <v>2207.446</v>
      </c>
      <c r="AA4" s="5">
        <v>8.145557195572</v>
      </c>
      <c r="AB4" s="11">
        <v>0.3333697292881</v>
      </c>
      <c r="AC4" s="4">
        <v>271.0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50</v>
      </c>
      <c r="C5" t="s">
        <v>51</v>
      </c>
      <c r="D5" s="3" t="s">
        <v>52</v>
      </c>
      <c r="E5" s="4">
        <v>30.0</v>
      </c>
      <c r="F5" s="5">
        <v>4500.0</v>
      </c>
      <c r="G5" s="6">
        <v>0</v>
      </c>
      <c r="H5" s="6">
        <v>0</v>
      </c>
      <c r="I5" s="6">
        <v>0</v>
      </c>
      <c r="J5" s="6">
        <v>0</v>
      </c>
      <c r="K5" s="4">
        <v>22.909082</v>
      </c>
      <c r="L5" s="5">
        <v>3436.3623</v>
      </c>
      <c r="M5" s="7">
        <v>1.0</v>
      </c>
      <c r="N5" s="4">
        <v>18.0</v>
      </c>
      <c r="O5" s="4">
        <v>1.636363</v>
      </c>
      <c r="P5" s="4">
        <v>1.0</v>
      </c>
      <c r="Q5" s="4">
        <v>1.0</v>
      </c>
      <c r="R5" s="6">
        <v>0</v>
      </c>
      <c r="S5" s="6">
        <v>0</v>
      </c>
      <c r="T5" s="4">
        <v>3.166666</v>
      </c>
      <c r="U5" s="8" t="s">
        <v>46</v>
      </c>
      <c r="V5" s="5">
        <v>4856.06</v>
      </c>
      <c r="W5" s="5">
        <v>269.78111111111</v>
      </c>
      <c r="X5" s="5">
        <v>4130.843</v>
      </c>
      <c r="Y5" s="5">
        <v>229.49127777778</v>
      </c>
      <c r="Z5" s="5">
        <v>-725.217</v>
      </c>
      <c r="AA5" s="5">
        <v>-40.289833333333</v>
      </c>
      <c r="AB5" s="12">
        <v>-0.17556150161117</v>
      </c>
      <c r="AC5" s="4">
        <v>18.0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269.78</v>
      </c>
      <c r="AK5" s="5">
        <v>269.78</v>
      </c>
      <c r="AL5" s="5">
        <v>336.449</v>
      </c>
      <c r="AM5" s="5">
        <v>336.449</v>
      </c>
      <c r="AN5" s="5">
        <v>66.669</v>
      </c>
      <c r="AO5" s="5">
        <v>66.669</v>
      </c>
      <c r="AP5" s="9">
        <v>0.19815484664838</v>
      </c>
      <c r="AQ5" s="4">
        <v>1.0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1" t="s">
        <v>53</v>
      </c>
      <c r="B6" s="1"/>
      <c r="C6" s="1"/>
      <c r="D6" s="1"/>
      <c r="E6" s="1"/>
      <c r="F6" s="13">
        <f>SUM(F3:F6)</f>
        <v>14400</v>
      </c>
      <c r="G6" s="1"/>
      <c r="H6" s="13">
        <f>SUM(H3:H6)</f>
        <v>39450</v>
      </c>
      <c r="I6" s="1"/>
      <c r="J6" s="13">
        <f>SUM(J3:J6)</f>
        <v>0</v>
      </c>
      <c r="K6" s="1"/>
      <c r="L6" s="13">
        <f>SUM(L3:L6)</f>
        <v>127883.161215</v>
      </c>
      <c r="M6" s="1"/>
      <c r="N6" s="1"/>
      <c r="O6" s="1"/>
      <c r="P6" s="1"/>
      <c r="Q6" s="1"/>
      <c r="R6" s="1"/>
      <c r="S6" s="13">
        <f>SUM(S3:S6)</f>
        <v>48420.97</v>
      </c>
      <c r="T6" s="1"/>
      <c r="U6" s="1"/>
      <c r="V6" s="13">
        <f>SUM(V3:V6)</f>
        <v>89608.239</v>
      </c>
      <c r="W6" s="1"/>
      <c r="X6" s="13">
        <f>SUM(X3:X6)</f>
        <v>95610.781</v>
      </c>
      <c r="Y6" s="1"/>
      <c r="Z6" s="13">
        <f>SUM(Z3:Z6)</f>
        <v>6002.542</v>
      </c>
      <c r="AA6" s="1"/>
      <c r="AB6" s="1"/>
      <c r="AC6" s="1"/>
      <c r="AD6" s="1"/>
      <c r="AE6" s="1"/>
      <c r="AF6" s="13">
        <f>SUM(AF3:AF6)</f>
        <v>0</v>
      </c>
      <c r="AG6" s="1"/>
      <c r="AH6" s="1"/>
      <c r="AI6" s="13">
        <f>SUM(AI3:AI6)</f>
        <v>0</v>
      </c>
      <c r="AJ6" s="13">
        <f>SUM(AJ3:V6)</f>
        <v>386212.12757636</v>
      </c>
      <c r="AK6" s="1"/>
      <c r="AL6" s="13">
        <f>SUM(AL3:AL6)</f>
        <v>2439.254</v>
      </c>
      <c r="AM6" s="1"/>
      <c r="AN6" s="13">
        <f>SUM(AN3:AN6)</f>
        <v>394.474</v>
      </c>
      <c r="AO6" s="1"/>
      <c r="AP6" s="1"/>
      <c r="AQ6" s="1"/>
      <c r="AR6" s="1"/>
      <c r="AS6" s="1"/>
      <c r="AT6" s="13">
        <f>SUM(AT3:AT6)</f>
        <v>0</v>
      </c>
      <c r="AU6" s="1"/>
      <c r="AV6" s="1"/>
      <c r="AW6" s="13">
        <f>SUM(AW3:AW6)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</v>
      </c>
      <c r="G1" s="1" t="s">
        <v>2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2024-02-14T09:00:25+07:00</dcterms:created>
  <dcterms:modified xsi:type="dcterms:W3CDTF">2024-02-14T09:00:25+07:00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