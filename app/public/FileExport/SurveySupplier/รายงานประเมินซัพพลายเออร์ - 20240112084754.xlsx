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<sst xmlns="http://schemas.openxmlformats.org/spreadsheetml/2006/main" uniqueCount="150">
  <si>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</si>
  <si>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</si>
  <si>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</si>
  <si>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</si>
  <si>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</si>
  <si>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</si>
  <si>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</si>
  <si>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</si>
  <si>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</si>
  <si>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</si>
  <si>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</si>
  <si>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</si>
  <si>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</si>
  <si>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</si>
  <si>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</si>
  <si>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</si>
  <si>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</si>
  <si>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</si>
  <si>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</si>
  <si>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</si>
  <si>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</si>
  <si>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</si>
  <si>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</si>
  <si>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</si>
  <si>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</si>
  <si>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</si>
  <si>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</si>
  <si>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</si>
  <si>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</si>
  <si>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</si>
  <si>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</si>
  <si>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</si>
  <si>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</si>
  <si>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</si>
  <si>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</si>
  <si>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</si>
  <si>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</si>
  <si>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</si>
  <si>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</si>
  <si>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</si>
  <si>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</si>
  <si>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</si>
  <si>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</si>
  <si>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05-015-335</t>
  </si>
  <si>
    <t>ปั๊มลม OS 50L EUROX 1600W Black Edition</t>
  </si>
  <si>
    <t>N</t>
  </si>
  <si>
    <t>05-015-265</t>
  </si>
  <si>
    <t>ปั๊มลมสายพาน EUROX 3HP 100L</t>
  </si>
  <si>
    <t>M</t>
  </si>
  <si>
    <t>05-015-323</t>
  </si>
  <si>
    <t>ปั๊มลม OS 24L EUROX 1600W Black Edition</t>
  </si>
  <si>
    <t>05-015-336</t>
  </si>
  <si>
    <t>ปั๊มลม OS 50L EUROX 1600W Titan</t>
  </si>
  <si>
    <t>05-015-020</t>
  </si>
  <si>
    <t>ปั๊มลมโรตารี่ 30 ลิตร</t>
  </si>
  <si>
    <t>A</t>
  </si>
  <si>
    <t>05-015-325</t>
  </si>
  <si>
    <t>ปั๊มลม OS 35L 550W EUROX ถังตั้ง</t>
  </si>
  <si>
    <t>D24</t>
  </si>
  <si>
    <t>05-015-021</t>
  </si>
  <si>
    <t>ปั๊มลมโรตารี่ 50 ลิตร</t>
  </si>
  <si>
    <t>03-003-106</t>
  </si>
  <si>
    <t>ตัวดักน้ำอย่างเดียว1/4" AFR2000 (สีแดง)</t>
  </si>
  <si>
    <t>D21</t>
  </si>
  <si>
    <t>05-015-322</t>
  </si>
  <si>
    <t>ปั๊มลม OS 24B1 750W x 1</t>
  </si>
  <si>
    <t>05-015-301</t>
  </si>
  <si>
    <t>ปั๊มลม OS 4L EUROX 21V (ตัวเปล่า)</t>
  </si>
  <si>
    <t>DEAD</t>
  </si>
  <si>
    <t>10-540-400</t>
  </si>
  <si>
    <t>OS50 750W. ชุดมอเตอร์</t>
  </si>
  <si>
    <t>10-540-550</t>
  </si>
  <si>
    <t>OS50L 1600W ชุดมอเตอร์</t>
  </si>
  <si>
    <t>05-015-390</t>
  </si>
  <si>
    <t>ปั๊มลม OS 100L EUROX 1600W x 2 Black Edition</t>
  </si>
  <si>
    <t>05-015-303</t>
  </si>
  <si>
    <t>ปั๊มลม OS MINI 6L EUROX</t>
  </si>
  <si>
    <t>05-015-302</t>
  </si>
  <si>
    <t>ปั๊มลม OS MINI 4L EUROX</t>
  </si>
  <si>
    <t>10-540-500</t>
  </si>
  <si>
    <t>OS50L 1600W capacitor 35uf</t>
  </si>
  <si>
    <t>10-503-610</t>
  </si>
  <si>
    <t>EU2530/50 No.61 น๊อตล้อยาว(ตัวผู้)</t>
  </si>
  <si>
    <t>D22</t>
  </si>
  <si>
    <t>10-503-600</t>
  </si>
  <si>
    <t>EU2530/50 No.60 ล้อ</t>
  </si>
  <si>
    <t>10-503-400</t>
  </si>
  <si>
    <t>EU2530/50 No.40 ชุดมอเตอร์</t>
  </si>
  <si>
    <t>D</t>
  </si>
  <si>
    <t>10-520-010</t>
  </si>
  <si>
    <t>OS25/OS50 หม้อกรองอากาศ</t>
  </si>
  <si>
    <t>10-520-410</t>
  </si>
  <si>
    <t>OS25/OS50 Capacitor 20F</t>
  </si>
  <si>
    <t>10-520-530</t>
  </si>
  <si>
    <t>OS25/OS50 Presure Switch</t>
  </si>
  <si>
    <t>10-520-550</t>
  </si>
  <si>
    <t>OS25/OS50 Solenoid Valve</t>
  </si>
  <si>
    <t>10-540-016</t>
  </si>
  <si>
    <t>OS50L 750W NO.16 Cylinder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</si>
  <si>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</si>
  <si>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</si>
  <si>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</si>
  <si>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</si>
  <si>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</si>
  <si>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</si>
  <si>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</si>
  <si>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</si>
  <si>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</si>
  <si>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</si>
  <si>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</si>
  <si>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PE-66051039</t>
  </si>
  <si>
    <t>C-05753 - มามาโฮมมาร์ท (SM มือปืน)</t>
  </si>
  <si>
    <t>WP5</t>
  </si>
  <si>
    <t>ตัว</t>
  </si>
  <si>
    <t>ชำรุดจากโรงงาน</t>
  </si>
  <si>
    <t>ถังรั่ว</t>
  </si>
  <si>
    <t>ฝ่ายขายโมเดิร์นเทรด 1</t>
  </si>
  <si>
    <t>PN-66014032</t>
  </si>
  <si>
    <t>M-00315 - โฮมฮับ - ทัพไท (สาขาที่ 5)</t>
  </si>
  <si>
    <t>PCS</t>
  </si>
  <si>
    <t>สินค้าชำรุดสภาพดี AX</t>
  </si>
  <si>
    <t>ลมรั่วตามด</t>
  </si>
  <si>
    <t>PN-66024044</t>
  </si>
  <si>
    <t>M-00159 - ศิริมหาชัย ศรีสะเกษ</t>
  </si>
  <si>
    <t>PE-66031015</t>
  </si>
  <si>
    <t>C-09523 - ชัยเสถียร(ไชยปราการ)</t>
  </si>
  <si>
    <t>มอเตอร์ไม่ทำงาน/ช็อต</t>
  </si>
  <si>
    <t>PE-66051022</t>
  </si>
  <si>
    <t>C-02734 - ไถ่เชียงวัสดุก่อสร้าง (แยกปฐมพร) SM TT PC</t>
  </si>
  <si>
    <t>รั่วตามด</t>
  </si>
  <si>
    <t>PE-66051043</t>
  </si>
  <si>
    <t>M-00246 - ไอดีโฮม 2015(SM TT PC)</t>
  </si>
  <si>
    <t>ฝาสูบแตก</t>
  </si>
  <si>
    <t>PN-66074028</t>
  </si>
  <si>
    <t>มอเตอร์ซ็อต</t>
  </si>
  <si>
    <t>PE-66081022</t>
  </si>
  <si>
    <t>C-12661 - คิงส์โฮม(2018)</t>
  </si>
  <si>
    <t>สิ่งที่ตรวจพบว่าsafety valve หัก</t>
  </si>
  <si>
    <t>PN-66094008</t>
  </si>
  <si>
    <t>M-00472 - บริษัท จำลองชัยโฮมเซ็นเตอร์ จำกัด</t>
  </si>
  <si>
    <t>มอเตอร์ซ็อต, เสียบปลั๊กแล้วมีเสียงแต่ไม่ทำงาน</t>
  </si>
  <si>
    <t>PN-66104006</t>
  </si>
  <si>
    <t>เครื่องไม่ทำงาน (มอเตอร์ซ็อต)</t>
  </si>
  <si>
    <t>ฝ่ายขายโมเดิร์นเทรด 2</t>
  </si>
  <si>
    <t>PE-66081010</t>
  </si>
  <si>
    <t>M-00492 - โฮมโปรดักส์ เซ็นเตอร์ (สาขาเมกาโฮม-เชียงใหม่) สาขาที่00143</t>
  </si>
  <si>
    <t>มอเตอร์ช็อตเสียลองเปลี่ยนคาปาแล้วไม่ติด</t>
  </si>
  <si>
    <t>PN-66124001</t>
  </si>
  <si>
    <t>A-00270 - สมยศ สุขสาคร (กบ)</t>
  </si>
  <si>
    <t>ฐานล้อไม่ได้เชื่อมมา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</si>
</sst>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7" sqref="AW2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620.0</v>
      </c>
      <c r="H3" s="6">
        <v>1781321.6</v>
      </c>
      <c r="I3" s="4">
        <v>0</v>
      </c>
      <c r="J3" s="4">
        <v>0</v>
      </c>
      <c r="K3" s="5">
        <v>367.818178</v>
      </c>
      <c r="L3" s="6">
        <v>1087406.626894</v>
      </c>
      <c r="M3" s="7">
        <v>-0.68561544013738</v>
      </c>
      <c r="N3" s="5">
        <v>287.0</v>
      </c>
      <c r="O3" s="5">
        <v>26.272727</v>
      </c>
      <c r="P3" s="5">
        <v>2.0</v>
      </c>
      <c r="Q3" s="4">
        <v>0</v>
      </c>
      <c r="R3" s="5">
        <v>320.0</v>
      </c>
      <c r="S3" s="6">
        <v>946038.4</v>
      </c>
      <c r="T3" s="5">
        <v>48.166666</v>
      </c>
      <c r="U3" s="8">
        <v>6.6435987078699</v>
      </c>
      <c r="V3" s="6">
        <v>804002.94</v>
      </c>
      <c r="W3" s="6">
        <v>2801.4039721254</v>
      </c>
      <c r="X3" s="6">
        <v>1349788.128</v>
      </c>
      <c r="Y3" s="6">
        <v>4703.0945226481</v>
      </c>
      <c r="Z3" s="6">
        <v>545785.188</v>
      </c>
      <c r="AA3" s="6">
        <v>1901.6905505226</v>
      </c>
      <c r="AB3" s="9">
        <v>0.40434878384113</v>
      </c>
      <c r="AC3" s="5">
        <v>287.0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5853.48</v>
      </c>
      <c r="AK3" s="6">
        <v>2926.74</v>
      </c>
      <c r="AL3" s="6">
        <v>9800.0</v>
      </c>
      <c r="AM3" s="6">
        <v>4900.0</v>
      </c>
      <c r="AN3" s="6">
        <v>3946.52</v>
      </c>
      <c r="AO3" s="6">
        <v>1973.26</v>
      </c>
      <c r="AP3" s="9">
        <v>0.40270612244898</v>
      </c>
      <c r="AQ3" s="5">
        <v>2.0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30.0</v>
      </c>
      <c r="F4" s="6">
        <v>248510.91</v>
      </c>
      <c r="G4" s="5">
        <v>120.0</v>
      </c>
      <c r="H4" s="6">
        <v>905169.39</v>
      </c>
      <c r="I4" s="4">
        <v>0</v>
      </c>
      <c r="J4" s="4">
        <v>0</v>
      </c>
      <c r="K4" s="5">
        <v>22.909082</v>
      </c>
      <c r="L4" s="6">
        <v>173660.921556</v>
      </c>
      <c r="M4" s="7">
        <v>-4.2380972751331</v>
      </c>
      <c r="N4" s="5">
        <v>17.0</v>
      </c>
      <c r="O4" s="5">
        <v>1.636363</v>
      </c>
      <c r="P4" s="5">
        <v>1.0</v>
      </c>
      <c r="Q4" s="4">
        <v>0</v>
      </c>
      <c r="R4" s="5">
        <v>99.0</v>
      </c>
      <c r="S4" s="6">
        <v>750463.56</v>
      </c>
      <c r="T4" s="5">
        <v>3.0</v>
      </c>
      <c r="U4" s="8">
        <v>33.0</v>
      </c>
      <c r="V4" s="6">
        <v>135080.1</v>
      </c>
      <c r="W4" s="6">
        <v>7945.8882352941</v>
      </c>
      <c r="X4" s="6">
        <v>167289.724</v>
      </c>
      <c r="Y4" s="6">
        <v>9840.572</v>
      </c>
      <c r="Z4" s="6">
        <v>32209.624</v>
      </c>
      <c r="AA4" s="6">
        <v>1894.6837647059</v>
      </c>
      <c r="AB4" s="10">
        <v>0.19253797083197</v>
      </c>
      <c r="AC4" s="5">
        <v>17.0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7580.44</v>
      </c>
      <c r="AK4" s="6">
        <v>7580.44</v>
      </c>
      <c r="AL4" s="6">
        <v>10186.92</v>
      </c>
      <c r="AM4" s="6">
        <v>10186.92</v>
      </c>
      <c r="AN4" s="6">
        <v>2606.48</v>
      </c>
      <c r="AO4" s="6">
        <v>2606.48</v>
      </c>
      <c r="AP4" s="9">
        <v>0.25586536460481</v>
      </c>
      <c r="AQ4" s="5">
        <v>1.0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0</v>
      </c>
      <c r="F5" s="4">
        <v>0</v>
      </c>
      <c r="G5" s="5">
        <v>358.0</v>
      </c>
      <c r="H5" s="6">
        <v>877538.92</v>
      </c>
      <c r="I5" s="4">
        <v>0</v>
      </c>
      <c r="J5" s="4">
        <v>0</v>
      </c>
      <c r="K5" s="5">
        <v>67.454534</v>
      </c>
      <c r="L5" s="6">
        <v>166183.688144</v>
      </c>
      <c r="M5" s="7">
        <v>-4.3072785292683</v>
      </c>
      <c r="N5" s="5">
        <v>53.0</v>
      </c>
      <c r="O5" s="5">
        <v>4.818181</v>
      </c>
      <c r="P5" s="4">
        <v>0</v>
      </c>
      <c r="Q5" s="4">
        <v>0</v>
      </c>
      <c r="R5" s="5">
        <v>298.0</v>
      </c>
      <c r="S5" s="6">
        <v>734164.72</v>
      </c>
      <c r="T5" s="5">
        <v>8.833333</v>
      </c>
      <c r="U5" s="8">
        <v>33.735850329655</v>
      </c>
      <c r="V5" s="6">
        <v>129264.35</v>
      </c>
      <c r="W5" s="6">
        <v>2438.95</v>
      </c>
      <c r="X5" s="6">
        <v>189888.862</v>
      </c>
      <c r="Y5" s="6">
        <v>3582.8087169811</v>
      </c>
      <c r="Z5" s="6">
        <v>60624.512</v>
      </c>
      <c r="AA5" s="6">
        <v>1143.8587169811</v>
      </c>
      <c r="AB5" s="9">
        <v>0.31926312771309</v>
      </c>
      <c r="AC5" s="5">
        <v>53.0</v>
      </c>
      <c r="AD5" s="5">
        <v>1.0</v>
      </c>
      <c r="AE5" s="4">
        <v>0</v>
      </c>
      <c r="AF5" s="4">
        <v>0</v>
      </c>
      <c r="AG5" s="3">
        <v>0</v>
      </c>
      <c r="AH5" s="5">
        <v>1.0</v>
      </c>
      <c r="AI5" s="6">
        <v>2463.64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5">
        <v>1.0</v>
      </c>
      <c r="AW5" s="6">
        <v>2463.64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160.0</v>
      </c>
      <c r="H6" s="6">
        <v>448011.84</v>
      </c>
      <c r="I6" s="4">
        <v>0</v>
      </c>
      <c r="J6" s="4">
        <v>0</v>
      </c>
      <c r="K6" s="5">
        <v>43.272726</v>
      </c>
      <c r="L6" s="6">
        <v>121166.834982</v>
      </c>
      <c r="M6" s="7">
        <v>-2.697479100346</v>
      </c>
      <c r="N6" s="5">
        <v>34.0</v>
      </c>
      <c r="O6" s="5">
        <v>3.090909</v>
      </c>
      <c r="P6" s="5">
        <v>4.0</v>
      </c>
      <c r="Q6" s="4">
        <v>0</v>
      </c>
      <c r="R6" s="5">
        <v>101.0</v>
      </c>
      <c r="S6" s="6">
        <v>282807.474</v>
      </c>
      <c r="T6" s="5">
        <v>6.333333</v>
      </c>
      <c r="U6" s="8">
        <v>15.947369260388</v>
      </c>
      <c r="V6" s="6">
        <v>95202.516</v>
      </c>
      <c r="W6" s="6">
        <v>2800.074</v>
      </c>
      <c r="X6" s="6">
        <v>161707.502</v>
      </c>
      <c r="Y6" s="6">
        <v>4756.103</v>
      </c>
      <c r="Z6" s="6">
        <v>66504.986</v>
      </c>
      <c r="AA6" s="6">
        <v>1956.029</v>
      </c>
      <c r="AB6" s="9">
        <v>0.41126716557652</v>
      </c>
      <c r="AC6" s="5">
        <v>34.0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11200.3</v>
      </c>
      <c r="AK6" s="6">
        <v>2800.075</v>
      </c>
      <c r="AL6" s="6">
        <v>18808.544</v>
      </c>
      <c r="AM6" s="6">
        <v>4702.136</v>
      </c>
      <c r="AN6" s="6">
        <v>7608.244</v>
      </c>
      <c r="AO6" s="6">
        <v>1902.061</v>
      </c>
      <c r="AP6" s="9">
        <v>0.40450999290535</v>
      </c>
      <c r="AQ6" s="5">
        <v>4.0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55</v>
      </c>
      <c r="E7" s="5">
        <v>373.0</v>
      </c>
      <c r="F7" s="6">
        <v>926161.57</v>
      </c>
      <c r="G7" s="5">
        <v>191.0</v>
      </c>
      <c r="H7" s="6">
        <v>417022.07</v>
      </c>
      <c r="I7" s="4">
        <v>0</v>
      </c>
      <c r="J7" s="4">
        <v>0</v>
      </c>
      <c r="K7" s="5">
        <v>281.272726</v>
      </c>
      <c r="L7" s="6">
        <v>634385.318948</v>
      </c>
      <c r="M7" s="11">
        <v>0.32094375904758</v>
      </c>
      <c r="N7" s="5">
        <v>225.0</v>
      </c>
      <c r="O7" s="5">
        <v>20.090909</v>
      </c>
      <c r="P7" s="5">
        <v>5.0</v>
      </c>
      <c r="Q7" s="4">
        <v>0</v>
      </c>
      <c r="R7" s="5">
        <v>105.0</v>
      </c>
      <c r="S7" s="6">
        <v>236818.05</v>
      </c>
      <c r="T7" s="5">
        <v>35.0</v>
      </c>
      <c r="U7" s="12">
        <v>3.0</v>
      </c>
      <c r="V7" s="6">
        <v>553372.767</v>
      </c>
      <c r="W7" s="6">
        <v>2459.43452</v>
      </c>
      <c r="X7" s="6">
        <v>757781.679</v>
      </c>
      <c r="Y7" s="6">
        <v>3367.9185733333</v>
      </c>
      <c r="Z7" s="6">
        <v>204408.912</v>
      </c>
      <c r="AA7" s="6">
        <v>908.48405333333</v>
      </c>
      <c r="AB7" s="9">
        <v>0.26974644236549</v>
      </c>
      <c r="AC7" s="5">
        <v>225.0</v>
      </c>
      <c r="AD7" s="5">
        <v>1.0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10717.65</v>
      </c>
      <c r="AK7" s="6">
        <v>2143.53</v>
      </c>
      <c r="AL7" s="6">
        <v>18882.062</v>
      </c>
      <c r="AM7" s="6">
        <v>3776.4124</v>
      </c>
      <c r="AN7" s="6">
        <v>8164.412</v>
      </c>
      <c r="AO7" s="6">
        <v>1632.8824</v>
      </c>
      <c r="AP7" s="9">
        <v>0.4323898523371</v>
      </c>
      <c r="AQ7" s="5">
        <v>5.0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4">
        <v>0</v>
      </c>
      <c r="F8" s="4">
        <v>0</v>
      </c>
      <c r="G8" s="5">
        <v>100.0</v>
      </c>
      <c r="H8" s="6">
        <v>287323.545</v>
      </c>
      <c r="I8" s="4">
        <v>0</v>
      </c>
      <c r="J8" s="4">
        <v>0</v>
      </c>
      <c r="K8" s="5">
        <v>44.545452</v>
      </c>
      <c r="L8" s="6">
        <v>135113.705916</v>
      </c>
      <c r="M8" s="7">
        <v>-1.2448980874636</v>
      </c>
      <c r="N8" s="5">
        <v>26.0</v>
      </c>
      <c r="O8" s="5">
        <v>3.181818</v>
      </c>
      <c r="P8" s="4">
        <v>0</v>
      </c>
      <c r="Q8" s="4">
        <v>0</v>
      </c>
      <c r="R8" s="5">
        <v>62.0</v>
      </c>
      <c r="S8" s="6">
        <v>188056.23</v>
      </c>
      <c r="T8" s="5">
        <v>4.333333</v>
      </c>
      <c r="U8" s="8">
        <v>14.307693408284</v>
      </c>
      <c r="V8" s="6">
        <v>74662.12</v>
      </c>
      <c r="W8" s="6">
        <v>2871.62</v>
      </c>
      <c r="X8" s="6">
        <v>111439.051</v>
      </c>
      <c r="Y8" s="6">
        <v>4286.1173461538</v>
      </c>
      <c r="Z8" s="6">
        <v>36776.931</v>
      </c>
      <c r="AA8" s="6">
        <v>1414.4973461538</v>
      </c>
      <c r="AB8" s="9">
        <v>0.33001834339024</v>
      </c>
      <c r="AC8" s="5">
        <v>26.0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55</v>
      </c>
      <c r="E9" s="5">
        <v>740.0</v>
      </c>
      <c r="F9" s="6">
        <v>2068668.304</v>
      </c>
      <c r="G9" s="5">
        <v>115.0</v>
      </c>
      <c r="H9" s="6">
        <v>275710.7</v>
      </c>
      <c r="I9" s="4">
        <v>0</v>
      </c>
      <c r="J9" s="4">
        <v>0</v>
      </c>
      <c r="K9" s="5">
        <v>484.909082</v>
      </c>
      <c r="L9" s="6">
        <v>1206807.779646</v>
      </c>
      <c r="M9" s="11">
        <v>0.76284214037468</v>
      </c>
      <c r="N9" s="5">
        <v>396.0</v>
      </c>
      <c r="O9" s="5">
        <v>34.636363</v>
      </c>
      <c r="P9" s="5">
        <v>7.0</v>
      </c>
      <c r="Q9" s="4">
        <v>0</v>
      </c>
      <c r="R9" s="5">
        <v>55.0</v>
      </c>
      <c r="S9" s="6">
        <v>136880.15</v>
      </c>
      <c r="T9" s="5">
        <v>63.333333</v>
      </c>
      <c r="U9" s="12">
        <v>0.86842105720222</v>
      </c>
      <c r="V9" s="6">
        <v>1128444.308</v>
      </c>
      <c r="W9" s="6">
        <v>2849.6068383838</v>
      </c>
      <c r="X9" s="6">
        <v>1571509.063</v>
      </c>
      <c r="Y9" s="6">
        <v>3968.457229798</v>
      </c>
      <c r="Z9" s="6">
        <v>443064.755</v>
      </c>
      <c r="AA9" s="6">
        <v>1118.8503914141</v>
      </c>
      <c r="AB9" s="9">
        <v>0.28193585734351</v>
      </c>
      <c r="AC9" s="5">
        <v>396.0</v>
      </c>
      <c r="AD9" s="5">
        <v>9.0</v>
      </c>
      <c r="AE9" s="4">
        <v>0</v>
      </c>
      <c r="AF9" s="4">
        <v>0</v>
      </c>
      <c r="AG9" s="3">
        <v>0</v>
      </c>
      <c r="AH9" s="5">
        <v>1.0</v>
      </c>
      <c r="AI9" s="6">
        <v>2488.73</v>
      </c>
      <c r="AJ9" s="6">
        <v>16556.96</v>
      </c>
      <c r="AK9" s="6">
        <v>2365.28</v>
      </c>
      <c r="AL9" s="6">
        <v>29314.722</v>
      </c>
      <c r="AM9" s="6">
        <v>4187.8174285714</v>
      </c>
      <c r="AN9" s="6">
        <v>12757.762</v>
      </c>
      <c r="AO9" s="6">
        <v>1822.5374285714</v>
      </c>
      <c r="AP9" s="9">
        <v>0.43519982894602</v>
      </c>
      <c r="AQ9" s="5">
        <v>7.0</v>
      </c>
      <c r="AR9" s="4">
        <v>0</v>
      </c>
      <c r="AS9" s="4">
        <v>0</v>
      </c>
      <c r="AT9" s="4">
        <v>0</v>
      </c>
      <c r="AU9" s="3">
        <v>0</v>
      </c>
      <c r="AV9" s="5">
        <v>1.0</v>
      </c>
      <c r="AW9" s="6">
        <v>2488.73</v>
      </c>
    </row>
    <row r="10" spans="1:49">
      <c r="A10" s="3">
        <v>8</v>
      </c>
      <c r="B10" s="3" t="s">
        <v>61</v>
      </c>
      <c r="C10" t="s">
        <v>62</v>
      </c>
      <c r="D10" s="3" t="s">
        <v>63</v>
      </c>
      <c r="E10" s="4">
        <v>0</v>
      </c>
      <c r="F10" s="4">
        <v>0</v>
      </c>
      <c r="G10" s="5">
        <v>1000.0</v>
      </c>
      <c r="H10" s="6">
        <v>184790.0</v>
      </c>
      <c r="I10" s="4">
        <v>0</v>
      </c>
      <c r="J10" s="4">
        <v>0</v>
      </c>
      <c r="K10" s="5">
        <v>35.636356</v>
      </c>
      <c r="L10" s="6">
        <v>6585.242225</v>
      </c>
      <c r="M10" s="7">
        <v>-27.061230502917</v>
      </c>
      <c r="N10" s="5">
        <v>28.0</v>
      </c>
      <c r="O10" s="5">
        <v>2.545454</v>
      </c>
      <c r="P10" s="5">
        <v>1.0</v>
      </c>
      <c r="Q10" s="4">
        <v>0</v>
      </c>
      <c r="R10" s="5">
        <v>403.0</v>
      </c>
      <c r="S10" s="6">
        <v>74470.37</v>
      </c>
      <c r="T10" s="5">
        <v>4.833333</v>
      </c>
      <c r="U10" s="8">
        <v>83.379316095125</v>
      </c>
      <c r="V10" s="6">
        <v>5174.12</v>
      </c>
      <c r="W10" s="6">
        <v>184.79</v>
      </c>
      <c r="X10" s="6">
        <v>11728.796</v>
      </c>
      <c r="Y10" s="6">
        <v>418.88557142857</v>
      </c>
      <c r="Z10" s="6">
        <v>6554.676</v>
      </c>
      <c r="AA10" s="6">
        <v>234.09557142857</v>
      </c>
      <c r="AB10" s="9">
        <v>0.55885327019073</v>
      </c>
      <c r="AC10" s="5">
        <v>28.0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184.79</v>
      </c>
      <c r="AK10" s="6">
        <v>184.79</v>
      </c>
      <c r="AL10" s="6">
        <v>607.477</v>
      </c>
      <c r="AM10" s="6">
        <v>607.477</v>
      </c>
      <c r="AN10" s="6">
        <v>422.687</v>
      </c>
      <c r="AO10" s="6">
        <v>422.687</v>
      </c>
      <c r="AP10" s="9">
        <v>0.69580741328478</v>
      </c>
      <c r="AQ10" s="5">
        <v>1.0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58</v>
      </c>
      <c r="E11" s="5">
        <v>149.0</v>
      </c>
      <c r="F11" s="6">
        <v>436042.689</v>
      </c>
      <c r="G11" s="5">
        <v>40.0</v>
      </c>
      <c r="H11" s="6">
        <v>108881.6</v>
      </c>
      <c r="I11" s="4">
        <v>0</v>
      </c>
      <c r="J11" s="4">
        <v>0</v>
      </c>
      <c r="K11" s="5">
        <v>115.818178</v>
      </c>
      <c r="L11" s="6">
        <v>315261.713243</v>
      </c>
      <c r="M11" s="11">
        <v>0.65463107181672</v>
      </c>
      <c r="N11" s="5">
        <v>91.0</v>
      </c>
      <c r="O11" s="5">
        <v>8.272727</v>
      </c>
      <c r="P11" s="5">
        <v>-2.0</v>
      </c>
      <c r="Q11" s="4">
        <v>0</v>
      </c>
      <c r="R11" s="5">
        <v>38.0</v>
      </c>
      <c r="S11" s="6">
        <v>103437.52</v>
      </c>
      <c r="T11" s="5">
        <v>14.0</v>
      </c>
      <c r="U11" s="12">
        <v>2.7142857142857</v>
      </c>
      <c r="V11" s="6">
        <v>264664.474</v>
      </c>
      <c r="W11" s="6">
        <v>2908.4008131868</v>
      </c>
      <c r="X11" s="6">
        <v>358510.41</v>
      </c>
      <c r="Y11" s="6">
        <v>3939.6748351648</v>
      </c>
      <c r="Z11" s="6">
        <v>93845.936</v>
      </c>
      <c r="AA11" s="6">
        <v>1031.274021978</v>
      </c>
      <c r="AB11" s="9">
        <v>0.26176627897639</v>
      </c>
      <c r="AC11" s="5">
        <v>91.0</v>
      </c>
      <c r="AD11" s="5">
        <v>1.0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-6121.81</v>
      </c>
      <c r="AK11" s="4">
        <v>0</v>
      </c>
      <c r="AL11" s="6">
        <v>-9102.805</v>
      </c>
      <c r="AM11" s="4">
        <v>0</v>
      </c>
      <c r="AN11" s="6">
        <v>-2980.995</v>
      </c>
      <c r="AO11" s="4">
        <v>0</v>
      </c>
      <c r="AP11" s="13">
        <v>0</v>
      </c>
      <c r="AQ11" s="5">
        <v>-2.0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66</v>
      </c>
      <c r="C12" t="s">
        <v>67</v>
      </c>
      <c r="D12" s="3" t="s">
        <v>48</v>
      </c>
      <c r="E12" s="4">
        <v>0</v>
      </c>
      <c r="F12" s="4">
        <v>0</v>
      </c>
      <c r="G12" s="5">
        <v>41.0</v>
      </c>
      <c r="H12" s="6">
        <v>75804.4</v>
      </c>
      <c r="I12" s="4">
        <v>0</v>
      </c>
      <c r="J12" s="4">
        <v>0</v>
      </c>
      <c r="K12" s="4">
        <v>0</v>
      </c>
      <c r="L12" s="4">
        <v>0</v>
      </c>
      <c r="M12" s="14">
        <v>0</v>
      </c>
      <c r="N12" s="4">
        <v>0</v>
      </c>
      <c r="O12" s="4">
        <v>0</v>
      </c>
      <c r="P12" s="4">
        <v>0</v>
      </c>
      <c r="Q12" s="4">
        <v>0</v>
      </c>
      <c r="R12" s="5">
        <v>39.0</v>
      </c>
      <c r="S12" s="6">
        <v>73909.29</v>
      </c>
      <c r="T12" s="4">
        <v>0</v>
      </c>
      <c r="U12" s="15" t="s">
        <v>68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69</v>
      </c>
      <c r="C13" t="s">
        <v>70</v>
      </c>
      <c r="D13" s="3" t="s">
        <v>48</v>
      </c>
      <c r="E13" s="4">
        <v>0</v>
      </c>
      <c r="F13" s="4">
        <v>0</v>
      </c>
      <c r="G13" s="5">
        <v>30.0</v>
      </c>
      <c r="H13" s="6">
        <v>46011.9</v>
      </c>
      <c r="I13" s="4">
        <v>0</v>
      </c>
      <c r="J13" s="4">
        <v>0</v>
      </c>
      <c r="K13" s="5">
        <v>20.36363</v>
      </c>
      <c r="L13" s="6">
        <v>31232.31024</v>
      </c>
      <c r="M13" s="7">
        <v>-0.47321474609389</v>
      </c>
      <c r="N13" s="5">
        <v>16.0</v>
      </c>
      <c r="O13" s="5">
        <v>1.454545</v>
      </c>
      <c r="P13" s="4">
        <v>0</v>
      </c>
      <c r="Q13" s="4">
        <v>0</v>
      </c>
      <c r="R13" s="5">
        <v>7.0</v>
      </c>
      <c r="S13" s="6">
        <v>10736.11</v>
      </c>
      <c r="T13" s="5">
        <v>2.666666</v>
      </c>
      <c r="U13" s="12">
        <v>2.6250006562502</v>
      </c>
      <c r="V13" s="6">
        <v>24539.68</v>
      </c>
      <c r="W13" s="6">
        <v>1533.73</v>
      </c>
      <c r="X13" s="6">
        <v>22570.1</v>
      </c>
      <c r="Y13" s="6">
        <v>1410.63125</v>
      </c>
      <c r="Z13" s="6">
        <v>-1969.58</v>
      </c>
      <c r="AA13" s="6">
        <v>-123.09875</v>
      </c>
      <c r="AB13" s="16">
        <v>-0.087265009902482</v>
      </c>
      <c r="AC13" s="5">
        <v>16.0</v>
      </c>
      <c r="AD13" s="4">
        <v>0</v>
      </c>
      <c r="AE13" s="4">
        <v>0</v>
      </c>
      <c r="AF13" s="4">
        <v>0</v>
      </c>
      <c r="AG13" s="3">
        <v>0</v>
      </c>
      <c r="AH13" s="5">
        <v>1.0</v>
      </c>
      <c r="AI13" s="6">
        <v>1533.73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5">
        <v>1.0</v>
      </c>
      <c r="AW13" s="6">
        <v>1533.73</v>
      </c>
    </row>
    <row r="14" spans="1:49">
      <c r="A14" s="3">
        <v>12</v>
      </c>
      <c r="B14" s="3" t="s">
        <v>71</v>
      </c>
      <c r="C14" t="s">
        <v>72</v>
      </c>
      <c r="D14" s="3" t="s">
        <v>48</v>
      </c>
      <c r="E14" s="4">
        <v>0</v>
      </c>
      <c r="F14" s="4">
        <v>0</v>
      </c>
      <c r="G14" s="5">
        <v>20.0</v>
      </c>
      <c r="H14" s="6">
        <v>33261.8</v>
      </c>
      <c r="I14" s="4">
        <v>0</v>
      </c>
      <c r="J14" s="4">
        <v>0</v>
      </c>
      <c r="K14" s="5">
        <v>1.272726</v>
      </c>
      <c r="L14" s="6">
        <v>2116.657883</v>
      </c>
      <c r="M14" s="7">
        <v>-14.714301428587</v>
      </c>
      <c r="N14" s="5">
        <v>1.0</v>
      </c>
      <c r="O14" s="5">
        <v>0.090909</v>
      </c>
      <c r="P14" s="4">
        <v>0</v>
      </c>
      <c r="Q14" s="4">
        <v>0</v>
      </c>
      <c r="R14" s="5">
        <v>17.0</v>
      </c>
      <c r="S14" s="6">
        <v>28272.53</v>
      </c>
      <c r="T14" s="5">
        <v>0.166666</v>
      </c>
      <c r="U14" s="8">
        <v>102.00040800163</v>
      </c>
      <c r="V14" s="6">
        <v>1663.09</v>
      </c>
      <c r="W14" s="6">
        <v>1663.09</v>
      </c>
      <c r="X14" s="4">
        <v>0</v>
      </c>
      <c r="Y14" s="6">
        <v>0.0</v>
      </c>
      <c r="Z14" s="6">
        <v>-1663.09</v>
      </c>
      <c r="AA14" s="6">
        <v>-1663.09</v>
      </c>
      <c r="AB14" s="13">
        <v>0</v>
      </c>
      <c r="AC14" s="5">
        <v>1.0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73</v>
      </c>
      <c r="C15" t="s">
        <v>74</v>
      </c>
      <c r="D15" s="3" t="s">
        <v>45</v>
      </c>
      <c r="E15" s="4">
        <v>0</v>
      </c>
      <c r="F15" s="4">
        <v>0</v>
      </c>
      <c r="G15" s="5">
        <v>1.0</v>
      </c>
      <c r="H15" s="6">
        <v>9380.0</v>
      </c>
      <c r="I15" s="4">
        <v>0</v>
      </c>
      <c r="J15" s="4">
        <v>0</v>
      </c>
      <c r="K15" s="4">
        <v>0</v>
      </c>
      <c r="L15" s="4">
        <v>0</v>
      </c>
      <c r="M15" s="1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15" t="s">
        <v>68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75</v>
      </c>
      <c r="C16" t="s">
        <v>76</v>
      </c>
      <c r="D16" s="3" t="s">
        <v>48</v>
      </c>
      <c r="E16" s="4">
        <v>0</v>
      </c>
      <c r="F16" s="4">
        <v>0</v>
      </c>
      <c r="G16" s="5">
        <v>1.0</v>
      </c>
      <c r="H16" s="6">
        <v>3001.78</v>
      </c>
      <c r="I16" s="4">
        <v>0</v>
      </c>
      <c r="J16" s="4">
        <v>0</v>
      </c>
      <c r="K16" s="4">
        <v>0</v>
      </c>
      <c r="L16" s="4">
        <v>0</v>
      </c>
      <c r="M16" s="1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15" t="s">
        <v>68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77</v>
      </c>
      <c r="C17" t="s">
        <v>78</v>
      </c>
      <c r="D17" s="3" t="s">
        <v>48</v>
      </c>
      <c r="E17" s="4">
        <v>0</v>
      </c>
      <c r="F17" s="4">
        <v>0</v>
      </c>
      <c r="G17" s="5">
        <v>1.0</v>
      </c>
      <c r="H17" s="6">
        <v>2626.55</v>
      </c>
      <c r="I17" s="4">
        <v>0</v>
      </c>
      <c r="J17" s="4">
        <v>0</v>
      </c>
      <c r="K17" s="4">
        <v>0</v>
      </c>
      <c r="L17" s="4">
        <v>0</v>
      </c>
      <c r="M17" s="1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5" t="s">
        <v>68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79</v>
      </c>
      <c r="C18" t="s">
        <v>80</v>
      </c>
      <c r="D18" s="3" t="s">
        <v>48</v>
      </c>
      <c r="E18" s="4">
        <v>0</v>
      </c>
      <c r="F18" s="4">
        <v>0</v>
      </c>
      <c r="G18" s="5">
        <v>20.0</v>
      </c>
      <c r="H18" s="6">
        <v>1108.8</v>
      </c>
      <c r="I18" s="4">
        <v>0</v>
      </c>
      <c r="J18" s="4">
        <v>0</v>
      </c>
      <c r="K18" s="4">
        <v>0</v>
      </c>
      <c r="L18" s="4">
        <v>0</v>
      </c>
      <c r="M18" s="14">
        <v>0</v>
      </c>
      <c r="N18" s="4">
        <v>0</v>
      </c>
      <c r="O18" s="4">
        <v>0</v>
      </c>
      <c r="P18" s="4">
        <v>0</v>
      </c>
      <c r="Q18" s="4">
        <v>0</v>
      </c>
      <c r="R18" s="5">
        <v>19.0</v>
      </c>
      <c r="S18" s="6">
        <v>1053.36</v>
      </c>
      <c r="T18" s="4">
        <v>0</v>
      </c>
      <c r="U18" s="15" t="s">
        <v>68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83</v>
      </c>
      <c r="E19" s="4">
        <v>0</v>
      </c>
      <c r="F19" s="4">
        <v>0</v>
      </c>
      <c r="G19" s="5">
        <v>50.0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5" t="s">
        <v>68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84</v>
      </c>
      <c r="C20" t="s">
        <v>85</v>
      </c>
      <c r="D20" s="3" t="s">
        <v>83</v>
      </c>
      <c r="E20" s="5">
        <v>10.0</v>
      </c>
      <c r="F20" s="4">
        <v>0</v>
      </c>
      <c r="G20" s="5">
        <v>20.0</v>
      </c>
      <c r="H20" s="4">
        <v>0</v>
      </c>
      <c r="I20" s="4">
        <v>0</v>
      </c>
      <c r="J20" s="4">
        <v>0</v>
      </c>
      <c r="K20" s="5">
        <v>15.272726</v>
      </c>
      <c r="L20" s="6">
        <v>199.461802</v>
      </c>
      <c r="M20" s="7">
        <v>-0.3095239186508</v>
      </c>
      <c r="N20" s="5">
        <v>12.0</v>
      </c>
      <c r="O20" s="5">
        <v>1.090909</v>
      </c>
      <c r="P20" s="4">
        <v>0</v>
      </c>
      <c r="Q20" s="4">
        <v>0</v>
      </c>
      <c r="R20" s="5">
        <v>3.0</v>
      </c>
      <c r="S20" s="6">
        <v>39.18</v>
      </c>
      <c r="T20" s="5">
        <v>2.0</v>
      </c>
      <c r="U20" s="12">
        <v>1.5</v>
      </c>
      <c r="V20" s="6">
        <v>171.0</v>
      </c>
      <c r="W20" s="6">
        <v>14.25</v>
      </c>
      <c r="X20" s="6">
        <v>616.84</v>
      </c>
      <c r="Y20" s="6">
        <v>51.403333333333</v>
      </c>
      <c r="Z20" s="6">
        <v>445.84</v>
      </c>
      <c r="AA20" s="6">
        <v>37.153333333333</v>
      </c>
      <c r="AB20" s="9">
        <v>0.72278062382465</v>
      </c>
      <c r="AC20" s="5">
        <v>12.0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86</v>
      </c>
      <c r="C21" t="s">
        <v>87</v>
      </c>
      <c r="D21" s="3" t="s">
        <v>88</v>
      </c>
      <c r="E21" s="5">
        <v>5.0</v>
      </c>
      <c r="F21" s="6">
        <v>2913.395</v>
      </c>
      <c r="G21" s="4">
        <v>0</v>
      </c>
      <c r="H21" s="4">
        <v>0</v>
      </c>
      <c r="I21" s="4">
        <v>0</v>
      </c>
      <c r="J21" s="4">
        <v>0</v>
      </c>
      <c r="K21" s="5">
        <v>1.272726</v>
      </c>
      <c r="L21" s="6">
        <v>741.590713</v>
      </c>
      <c r="M21" s="11">
        <v>1.0</v>
      </c>
      <c r="N21" s="5">
        <v>1.0</v>
      </c>
      <c r="O21" s="5">
        <v>0.090909</v>
      </c>
      <c r="P21" s="4">
        <v>0</v>
      </c>
      <c r="Q21" s="4">
        <v>0</v>
      </c>
      <c r="R21" s="5">
        <v>5.0</v>
      </c>
      <c r="S21" s="6">
        <v>2913.395</v>
      </c>
      <c r="T21" s="5">
        <v>0.166666</v>
      </c>
      <c r="U21" s="8">
        <v>30.00012000048</v>
      </c>
      <c r="V21" s="6">
        <v>334.63</v>
      </c>
      <c r="W21" s="6">
        <v>334.63</v>
      </c>
      <c r="X21" s="6">
        <v>1121.5</v>
      </c>
      <c r="Y21" s="6">
        <v>1121.5</v>
      </c>
      <c r="Z21" s="6">
        <v>786.87</v>
      </c>
      <c r="AA21" s="6">
        <v>786.87</v>
      </c>
      <c r="AB21" s="9">
        <v>0.70162282657156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89</v>
      </c>
      <c r="C22" t="s">
        <v>90</v>
      </c>
      <c r="D22" s="3" t="s">
        <v>48</v>
      </c>
      <c r="E22" s="5">
        <v>50.0</v>
      </c>
      <c r="F22" s="6">
        <v>1359.5</v>
      </c>
      <c r="G22" s="4">
        <v>0</v>
      </c>
      <c r="H22" s="4">
        <v>0</v>
      </c>
      <c r="I22" s="4">
        <v>0</v>
      </c>
      <c r="J22" s="4">
        <v>0</v>
      </c>
      <c r="K22" s="5">
        <v>31.818178</v>
      </c>
      <c r="L22" s="6">
        <v>865.13626</v>
      </c>
      <c r="M22" s="11">
        <v>1.0</v>
      </c>
      <c r="N22" s="5">
        <v>25.0</v>
      </c>
      <c r="O22" s="5">
        <v>2.272727</v>
      </c>
      <c r="P22" s="4">
        <v>0</v>
      </c>
      <c r="Q22" s="4">
        <v>0</v>
      </c>
      <c r="R22" s="5">
        <v>32.0</v>
      </c>
      <c r="S22" s="6">
        <v>870.08</v>
      </c>
      <c r="T22" s="5">
        <v>3.833333</v>
      </c>
      <c r="U22" s="8">
        <v>8.3478268128545</v>
      </c>
      <c r="V22" s="6">
        <v>1391.659</v>
      </c>
      <c r="W22" s="6">
        <v>55.66636</v>
      </c>
      <c r="X22" s="6">
        <v>1823.336</v>
      </c>
      <c r="Y22" s="6">
        <v>72.93344</v>
      </c>
      <c r="Z22" s="6">
        <v>431.677</v>
      </c>
      <c r="AA22" s="6">
        <v>17.26708</v>
      </c>
      <c r="AB22" s="10">
        <v>0.23675120767648</v>
      </c>
      <c r="AC22" s="5">
        <v>25.0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91</v>
      </c>
      <c r="C23" t="s">
        <v>92</v>
      </c>
      <c r="D23" s="3" t="s">
        <v>88</v>
      </c>
      <c r="E23" s="5">
        <v>20.0</v>
      </c>
      <c r="F23" s="6">
        <v>776.8</v>
      </c>
      <c r="G23" s="4">
        <v>0</v>
      </c>
      <c r="H23" s="4">
        <v>0</v>
      </c>
      <c r="I23" s="4">
        <v>0</v>
      </c>
      <c r="J23" s="4">
        <v>0</v>
      </c>
      <c r="K23" s="5">
        <v>2.545452</v>
      </c>
      <c r="L23" s="6">
        <v>98.865356</v>
      </c>
      <c r="M23" s="11">
        <v>1.0</v>
      </c>
      <c r="N23" s="5">
        <v>2.0</v>
      </c>
      <c r="O23" s="5">
        <v>0.181818</v>
      </c>
      <c r="P23" s="5">
        <v>1.0</v>
      </c>
      <c r="Q23" s="4">
        <v>0</v>
      </c>
      <c r="R23" s="5">
        <v>15.0</v>
      </c>
      <c r="S23" s="6">
        <v>582.6</v>
      </c>
      <c r="T23" s="5">
        <v>0.5</v>
      </c>
      <c r="U23" s="8">
        <v>30.0</v>
      </c>
      <c r="V23" s="6">
        <v>86.52</v>
      </c>
      <c r="W23" s="6">
        <v>43.26</v>
      </c>
      <c r="X23" s="6">
        <v>327.103</v>
      </c>
      <c r="Y23" s="6">
        <v>163.5515</v>
      </c>
      <c r="Z23" s="6">
        <v>240.583</v>
      </c>
      <c r="AA23" s="6">
        <v>120.2915</v>
      </c>
      <c r="AB23" s="9">
        <v>0.7354961587023</v>
      </c>
      <c r="AC23" s="5">
        <v>2.0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6">
        <v>43.26</v>
      </c>
      <c r="AK23" s="6">
        <v>43.26</v>
      </c>
      <c r="AL23" s="4">
        <v>0</v>
      </c>
      <c r="AM23" s="6">
        <v>0.0</v>
      </c>
      <c r="AN23" s="6">
        <v>-43.26</v>
      </c>
      <c r="AO23" s="6">
        <v>-43.26</v>
      </c>
      <c r="AP23" s="13">
        <v>0</v>
      </c>
      <c r="AQ23" s="5">
        <v>1.0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93</v>
      </c>
      <c r="C24" t="s">
        <v>94</v>
      </c>
      <c r="D24" s="3" t="s">
        <v>48</v>
      </c>
      <c r="E24" s="5">
        <v>30.0</v>
      </c>
      <c r="F24" s="6">
        <v>2330.1</v>
      </c>
      <c r="G24" s="4">
        <v>0</v>
      </c>
      <c r="H24" s="4">
        <v>0</v>
      </c>
      <c r="I24" s="4">
        <v>0</v>
      </c>
      <c r="J24" s="4">
        <v>0</v>
      </c>
      <c r="K24" s="5">
        <v>36.909082</v>
      </c>
      <c r="L24" s="6">
        <v>2866.728399</v>
      </c>
      <c r="M24" s="11">
        <v>1.0</v>
      </c>
      <c r="N24" s="5">
        <v>29.0</v>
      </c>
      <c r="O24" s="5">
        <v>2.636363</v>
      </c>
      <c r="P24" s="4">
        <v>0</v>
      </c>
      <c r="Q24" s="4">
        <v>0</v>
      </c>
      <c r="R24" s="5">
        <v>23.0</v>
      </c>
      <c r="S24" s="6">
        <v>1786.41</v>
      </c>
      <c r="T24" s="5">
        <v>4.666666</v>
      </c>
      <c r="U24" s="17">
        <v>4.9285721326532</v>
      </c>
      <c r="V24" s="6">
        <v>1841.79</v>
      </c>
      <c r="W24" s="6">
        <v>63.51</v>
      </c>
      <c r="X24" s="6">
        <v>6041.223</v>
      </c>
      <c r="Y24" s="6">
        <v>208.31803448276</v>
      </c>
      <c r="Z24" s="6">
        <v>4199.433</v>
      </c>
      <c r="AA24" s="6">
        <v>144.80803448276</v>
      </c>
      <c r="AB24" s="9">
        <v>0.69512961200075</v>
      </c>
      <c r="AC24" s="5">
        <v>29.0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95</v>
      </c>
      <c r="C25" t="s">
        <v>96</v>
      </c>
      <c r="D25" s="3" t="s">
        <v>48</v>
      </c>
      <c r="E25" s="5">
        <v>50.0</v>
      </c>
      <c r="F25" s="6">
        <v>4078.0</v>
      </c>
      <c r="G25" s="4">
        <v>0</v>
      </c>
      <c r="H25" s="4">
        <v>0</v>
      </c>
      <c r="I25" s="4">
        <v>0</v>
      </c>
      <c r="J25" s="4">
        <v>0</v>
      </c>
      <c r="K25" s="5">
        <v>26.72726</v>
      </c>
      <c r="L25" s="6">
        <v>2179.875326</v>
      </c>
      <c r="M25" s="11">
        <v>1.0</v>
      </c>
      <c r="N25" s="5">
        <v>21.0</v>
      </c>
      <c r="O25" s="5">
        <v>1.90909</v>
      </c>
      <c r="P25" s="4">
        <v>0</v>
      </c>
      <c r="Q25" s="4">
        <v>0</v>
      </c>
      <c r="R25" s="5">
        <v>26.0</v>
      </c>
      <c r="S25" s="6">
        <v>2120.56</v>
      </c>
      <c r="T25" s="5">
        <v>3.5</v>
      </c>
      <c r="U25" s="8">
        <v>7.4285714285714</v>
      </c>
      <c r="V25" s="6">
        <v>1565.929</v>
      </c>
      <c r="W25" s="6">
        <v>74.568047619048</v>
      </c>
      <c r="X25" s="6">
        <v>3317.746</v>
      </c>
      <c r="Y25" s="6">
        <v>157.9879047619</v>
      </c>
      <c r="Z25" s="6">
        <v>1751.817</v>
      </c>
      <c r="AA25" s="6">
        <v>83.419857142857</v>
      </c>
      <c r="AB25" s="9">
        <v>0.52801420000205</v>
      </c>
      <c r="AC25" s="5">
        <v>21.0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97</v>
      </c>
      <c r="C26" t="s">
        <v>98</v>
      </c>
      <c r="D26" s="3" t="s">
        <v>88</v>
      </c>
      <c r="E26" s="5">
        <v>50.0</v>
      </c>
      <c r="F26" s="6">
        <v>2330.0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4">
        <v>0</v>
      </c>
      <c r="N26" s="4">
        <v>0</v>
      </c>
      <c r="O26" s="4">
        <v>0</v>
      </c>
      <c r="P26" s="4">
        <v>0</v>
      </c>
      <c r="Q26" s="4">
        <v>0</v>
      </c>
      <c r="R26" s="5">
        <v>82.0</v>
      </c>
      <c r="S26" s="6">
        <v>3821.2</v>
      </c>
      <c r="T26" s="4">
        <v>0</v>
      </c>
      <c r="U26" s="15" t="s">
        <v>68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1" t="s">
        <v>99</v>
      </c>
      <c r="B27" s="1"/>
      <c r="C27" s="1"/>
      <c r="D27" s="1"/>
      <c r="E27" s="1"/>
      <c r="F27" s="18">
        <f>SUM(F3:F27)</f>
        <v>3693171.268</v>
      </c>
      <c r="G27" s="1"/>
      <c r="H27" s="18">
        <f>SUM(H3:H27)</f>
        <v>5456964.895</v>
      </c>
      <c r="I27" s="1"/>
      <c r="J27" s="18">
        <f>SUM(J3:J27)</f>
        <v>0</v>
      </c>
      <c r="K27" s="1"/>
      <c r="L27" s="18">
        <f>SUM(L3:L27)</f>
        <v>3886872.457533</v>
      </c>
      <c r="M27" s="1"/>
      <c r="N27" s="1"/>
      <c r="O27" s="1"/>
      <c r="P27" s="1"/>
      <c r="Q27" s="1"/>
      <c r="R27" s="1"/>
      <c r="S27" s="18">
        <f>SUM(S3:S27)</f>
        <v>3579241.189</v>
      </c>
      <c r="T27" s="1"/>
      <c r="U27" s="1"/>
      <c r="V27" s="18">
        <f>SUM(V3:V27)</f>
        <v>3221461.993</v>
      </c>
      <c r="W27" s="1"/>
      <c r="X27" s="18">
        <f>SUM(X3:X27)</f>
        <v>4715461.063</v>
      </c>
      <c r="Y27" s="1"/>
      <c r="Z27" s="18">
        <f>SUM(Z3:Z27)</f>
        <v>1493999.07</v>
      </c>
      <c r="AA27" s="1"/>
      <c r="AB27" s="1"/>
      <c r="AC27" s="1"/>
      <c r="AD27" s="1"/>
      <c r="AE27" s="1"/>
      <c r="AF27" s="18">
        <f>SUM(AF3:AF27)</f>
        <v>0</v>
      </c>
      <c r="AG27" s="1"/>
      <c r="AH27" s="1"/>
      <c r="AI27" s="18">
        <f>SUM(AI3:AI27)</f>
        <v>6486.1</v>
      </c>
      <c r="AJ27" s="18">
        <f>SUM(AJ3:V27)</f>
        <v>19006216.998783</v>
      </c>
      <c r="AK27" s="1"/>
      <c r="AL27" s="18">
        <f>SUM(AL3:AL27)</f>
        <v>78496.92</v>
      </c>
      <c r="AM27" s="1"/>
      <c r="AN27" s="18">
        <f>SUM(AN3:AN27)</f>
        <v>32481.85</v>
      </c>
      <c r="AO27" s="1"/>
      <c r="AP27" s="1"/>
      <c r="AQ27" s="1"/>
      <c r="AR27" s="1"/>
      <c r="AS27" s="1"/>
      <c r="AT27" s="18">
        <f>SUM(AT3:AT27)</f>
        <v>0</v>
      </c>
      <c r="AU27" s="1"/>
      <c r="AV27" s="1"/>
      <c r="AW27" s="18">
        <f>SUM(AW3:AW27)</f>
        <v>6486.1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7:D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</v>
      </c>
      <c r="G1" s="1" t="s">
        <v>2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109</v>
      </c>
      <c r="C2" s="3" t="s">
        <v>110</v>
      </c>
      <c r="D2" s="19">
        <v>45077.0</v>
      </c>
      <c r="E2" t="s">
        <v>111</v>
      </c>
      <c r="F2" s="3" t="s">
        <v>53</v>
      </c>
      <c r="G2" t="s">
        <v>54</v>
      </c>
      <c r="H2" s="3" t="s">
        <v>112</v>
      </c>
      <c r="I2" s="5">
        <v>1.0</v>
      </c>
      <c r="J2" t="s">
        <v>113</v>
      </c>
      <c r="K2" t="s">
        <v>114</v>
      </c>
      <c r="L2" t="s">
        <v>115</v>
      </c>
    </row>
    <row r="3" spans="1:36">
      <c r="A3" s="3">
        <v>2</v>
      </c>
      <c r="B3" t="s">
        <v>116</v>
      </c>
      <c r="C3" s="3" t="s">
        <v>117</v>
      </c>
      <c r="D3" s="19">
        <v>44952.0</v>
      </c>
      <c r="E3" t="s">
        <v>118</v>
      </c>
      <c r="F3" s="3" t="s">
        <v>59</v>
      </c>
      <c r="G3" t="s">
        <v>60</v>
      </c>
      <c r="H3" s="3" t="s">
        <v>112</v>
      </c>
      <c r="I3" s="5">
        <v>1.0</v>
      </c>
      <c r="J3" t="s">
        <v>119</v>
      </c>
      <c r="K3" t="s">
        <v>120</v>
      </c>
      <c r="L3" t="s">
        <v>121</v>
      </c>
    </row>
    <row r="4" spans="1:36">
      <c r="A4" s="3">
        <v>3</v>
      </c>
      <c r="B4" t="s">
        <v>116</v>
      </c>
      <c r="C4" s="3" t="s">
        <v>122</v>
      </c>
      <c r="D4" s="19">
        <v>44979.0</v>
      </c>
      <c r="E4" t="s">
        <v>123</v>
      </c>
      <c r="F4" s="3" t="s">
        <v>59</v>
      </c>
      <c r="G4" t="s">
        <v>60</v>
      </c>
      <c r="H4" s="3" t="s">
        <v>112</v>
      </c>
      <c r="I4" s="5">
        <v>1.0</v>
      </c>
      <c r="J4" t="s">
        <v>119</v>
      </c>
      <c r="K4" t="s">
        <v>120</v>
      </c>
      <c r="L4" t="s">
        <v>121</v>
      </c>
    </row>
    <row r="5" spans="1:36">
      <c r="A5" s="3">
        <v>4</v>
      </c>
      <c r="B5" t="s">
        <v>109</v>
      </c>
      <c r="C5" s="3" t="s">
        <v>124</v>
      </c>
      <c r="D5" s="19">
        <v>44987.0</v>
      </c>
      <c r="E5" t="s">
        <v>125</v>
      </c>
      <c r="F5" s="3" t="s">
        <v>59</v>
      </c>
      <c r="G5" t="s">
        <v>60</v>
      </c>
      <c r="H5" s="3" t="s">
        <v>112</v>
      </c>
      <c r="I5" s="5">
        <v>1.0</v>
      </c>
      <c r="J5" t="s">
        <v>113</v>
      </c>
      <c r="K5" t="s">
        <v>114</v>
      </c>
      <c r="L5" t="s">
        <v>126</v>
      </c>
    </row>
    <row r="6" spans="1:36">
      <c r="A6" s="3">
        <v>5</v>
      </c>
      <c r="B6" t="s">
        <v>109</v>
      </c>
      <c r="C6" s="3" t="s">
        <v>127</v>
      </c>
      <c r="D6" s="19">
        <v>45061.0</v>
      </c>
      <c r="E6" t="s">
        <v>128</v>
      </c>
      <c r="F6" s="3" t="s">
        <v>59</v>
      </c>
      <c r="G6" t="s">
        <v>60</v>
      </c>
      <c r="H6" s="3" t="s">
        <v>112</v>
      </c>
      <c r="I6" s="5">
        <v>1.0</v>
      </c>
      <c r="J6" t="s">
        <v>113</v>
      </c>
      <c r="K6" t="s">
        <v>114</v>
      </c>
      <c r="L6" t="s">
        <v>129</v>
      </c>
    </row>
    <row r="7" spans="1:36">
      <c r="A7" s="3">
        <v>6</v>
      </c>
      <c r="B7" t="s">
        <v>109</v>
      </c>
      <c r="C7" s="3" t="s">
        <v>130</v>
      </c>
      <c r="D7" s="19">
        <v>45077.0</v>
      </c>
      <c r="E7" t="s">
        <v>131</v>
      </c>
      <c r="F7" s="3" t="s">
        <v>59</v>
      </c>
      <c r="G7" t="s">
        <v>60</v>
      </c>
      <c r="H7" s="3" t="s">
        <v>112</v>
      </c>
      <c r="I7" s="5">
        <v>1.0</v>
      </c>
      <c r="J7" t="s">
        <v>113</v>
      </c>
      <c r="K7" t="s">
        <v>114</v>
      </c>
      <c r="L7" t="s">
        <v>132</v>
      </c>
    </row>
    <row r="8" spans="1:36">
      <c r="A8" s="3">
        <v>7</v>
      </c>
      <c r="B8" t="s">
        <v>116</v>
      </c>
      <c r="C8" s="3" t="s">
        <v>133</v>
      </c>
      <c r="D8" s="19">
        <v>45126.0</v>
      </c>
      <c r="E8" t="s">
        <v>123</v>
      </c>
      <c r="F8" s="3" t="s">
        <v>59</v>
      </c>
      <c r="G8" t="s">
        <v>60</v>
      </c>
      <c r="H8" s="3" t="s">
        <v>112</v>
      </c>
      <c r="I8" s="5">
        <v>1.0</v>
      </c>
      <c r="J8" t="s">
        <v>113</v>
      </c>
      <c r="K8" t="s">
        <v>120</v>
      </c>
      <c r="L8" t="s">
        <v>134</v>
      </c>
    </row>
    <row r="9" spans="1:36">
      <c r="A9" s="3">
        <v>8</v>
      </c>
      <c r="B9" t="s">
        <v>109</v>
      </c>
      <c r="C9" s="3" t="s">
        <v>135</v>
      </c>
      <c r="D9" s="19">
        <v>45155.0</v>
      </c>
      <c r="E9" t="s">
        <v>136</v>
      </c>
      <c r="F9" s="3" t="s">
        <v>59</v>
      </c>
      <c r="G9" t="s">
        <v>60</v>
      </c>
      <c r="H9" s="3" t="s">
        <v>112</v>
      </c>
      <c r="I9" s="5">
        <v>1.0</v>
      </c>
      <c r="J9" t="s">
        <v>119</v>
      </c>
      <c r="K9" t="s">
        <v>114</v>
      </c>
      <c r="L9" t="s">
        <v>137</v>
      </c>
    </row>
    <row r="10" spans="1:36">
      <c r="A10" s="3">
        <v>9</v>
      </c>
      <c r="B10" t="s">
        <v>116</v>
      </c>
      <c r="C10" s="3" t="s">
        <v>138</v>
      </c>
      <c r="D10" s="19">
        <v>45174.0</v>
      </c>
      <c r="E10" t="s">
        <v>139</v>
      </c>
      <c r="F10" s="3" t="s">
        <v>59</v>
      </c>
      <c r="G10" t="s">
        <v>60</v>
      </c>
      <c r="H10" s="3" t="s">
        <v>112</v>
      </c>
      <c r="I10" s="5">
        <v>1.0</v>
      </c>
      <c r="J10" t="s">
        <v>119</v>
      </c>
      <c r="K10" t="s">
        <v>120</v>
      </c>
      <c r="L10" t="s">
        <v>140</v>
      </c>
    </row>
    <row r="11" spans="1:36">
      <c r="A11" s="3">
        <v>10</v>
      </c>
      <c r="B11" t="s">
        <v>116</v>
      </c>
      <c r="C11" s="3" t="s">
        <v>141</v>
      </c>
      <c r="D11" s="19">
        <v>45204.0</v>
      </c>
      <c r="E11" t="s">
        <v>123</v>
      </c>
      <c r="F11" s="3" t="s">
        <v>59</v>
      </c>
      <c r="G11" t="s">
        <v>60</v>
      </c>
      <c r="H11" s="3" t="s">
        <v>112</v>
      </c>
      <c r="I11" s="5">
        <v>1.0</v>
      </c>
      <c r="J11" t="s">
        <v>119</v>
      </c>
      <c r="K11" t="s">
        <v>120</v>
      </c>
      <c r="L11" t="s">
        <v>142</v>
      </c>
    </row>
    <row r="12" spans="1:36">
      <c r="A12" s="3">
        <v>11</v>
      </c>
      <c r="B12" t="s">
        <v>143</v>
      </c>
      <c r="C12" s="3" t="s">
        <v>144</v>
      </c>
      <c r="D12" s="19">
        <v>45143.0</v>
      </c>
      <c r="E12" t="s">
        <v>145</v>
      </c>
      <c r="F12" s="3" t="s">
        <v>64</v>
      </c>
      <c r="G12" t="s">
        <v>65</v>
      </c>
      <c r="H12" s="3" t="s">
        <v>112</v>
      </c>
      <c r="I12" s="5">
        <v>1.0</v>
      </c>
      <c r="J12" t="s">
        <v>119</v>
      </c>
      <c r="K12" t="s">
        <v>114</v>
      </c>
      <c r="L12" t="s">
        <v>146</v>
      </c>
    </row>
    <row r="13" spans="1:36">
      <c r="A13" s="3">
        <v>12</v>
      </c>
      <c r="B13" t="s">
        <v>109</v>
      </c>
      <c r="C13" s="3" t="s">
        <v>147</v>
      </c>
      <c r="D13" s="19">
        <v>45261.0</v>
      </c>
      <c r="E13" t="s">
        <v>148</v>
      </c>
      <c r="F13" s="3" t="s">
        <v>49</v>
      </c>
      <c r="G13" t="s">
        <v>50</v>
      </c>
      <c r="H13" s="3" t="s">
        <v>112</v>
      </c>
      <c r="I13" s="5">
        <v>1.0</v>
      </c>
      <c r="J13" t="s">
        <v>119</v>
      </c>
      <c r="K13" t="s">
        <v>120</v>
      </c>
      <c r="L13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2024-01-12T08:47:53+07:00</dcterms:created>
  <dcterms:modified xsi:type="dcterms:W3CDTF">2024-01-12T08:47:53+07:00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