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<sst xmlns="http://schemas.openxmlformats.org/spreadsheetml/2006/main" uniqueCount="239">
  <si>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</si>
  <si>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</si>
  <si>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</si>
  <si>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</si>
  <si>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</si>
  <si>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</si>
  <si>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</si>
  <si>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</si>
  <si>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</si>
  <si>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</si>
  <si>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</si>
  <si>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</si>
  <si>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</si>
  <si>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</si>
  <si>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</si>
  <si>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</si>
  <si>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</si>
  <si>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</si>
  <si>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</si>
  <si>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</si>
  <si>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</si>
  <si>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</si>
  <si>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</si>
  <si>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</si>
  <si>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</si>
  <si>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</si>
  <si>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</si>
  <si>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</si>
  <si>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</si>
  <si>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</si>
  <si>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</si>
  <si>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</si>
  <si>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</si>
  <si>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</si>
  <si>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</si>
  <si>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</si>
  <si>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</si>
  <si>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</si>
  <si>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</si>
  <si>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</si>
  <si>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</si>
  <si>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</si>
  <si>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</si>
  <si>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05-090-150</t>
  </si>
  <si>
    <t>ตัดหญ้า EUROX 35CC</t>
  </si>
  <si>
    <t>A</t>
  </si>
  <si>
    <t>05-090-100</t>
  </si>
  <si>
    <t>ตัดหญ้า EUROX 411M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</si>
  <si>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</si>
  <si>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</si>
  <si>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</si>
  <si>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</si>
  <si>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M</t>
  </si>
  <si>
    <t>DEAD</t>
  </si>
  <si>
    <t>05-004-099</t>
  </si>
  <si>
    <t>รถพรวนดิน EU8005ZS (3.2Hp)</t>
  </si>
  <si>
    <t>05-004-089</t>
  </si>
  <si>
    <t>หัวสูบน้ำ EUROX Z</t>
  </si>
  <si>
    <t>06-508-300</t>
  </si>
  <si>
    <t>บาร์เลเซอร์เลื่อยโซ่ (11.5")</t>
  </si>
  <si>
    <t>06-502-280</t>
  </si>
  <si>
    <t>โซ่เลื่อยยนต์(บาร์เลเซอร์) 3/8LP-3*43</t>
  </si>
  <si>
    <t>06-502-271</t>
  </si>
  <si>
    <t>โซ่เลื่อยยนต์ 3/8LP 45T</t>
  </si>
  <si>
    <t>06-500-145</t>
  </si>
  <si>
    <t>411M ก้านตัดหญ้าครบชุดพร้อมแฮนด์+ชุดคันเร่ง</t>
  </si>
  <si>
    <t>06-503-151</t>
  </si>
  <si>
    <t>ดอกสว่านเจาะดิน 6" (150mm.)</t>
  </si>
  <si>
    <t>06-512-003</t>
  </si>
  <si>
    <t>รถตัดหญ้า EU5200 คาร์บูเรเตอร์</t>
  </si>
  <si>
    <t>06-512-010</t>
  </si>
  <si>
    <t>รถตัดหญ้า EU5200 เสื้อสูบ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</si>
  <si>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</si>
  <si>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</si>
  <si>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</si>
  <si>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</si>
  <si>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06-512-006</t>
  </si>
  <si>
    <t>รถตัดหญ้า EU5200 ฝาครอบจานไฟ</t>
  </si>
  <si>
    <t>06-512-002</t>
  </si>
  <si>
    <t>รถตัดหญ้า EU5200 ถังน้ำมัน</t>
  </si>
  <si>
    <t>06-512-005</t>
  </si>
  <si>
    <t>รถตัดหญ้า EU5200 น็อต M5x16</t>
  </si>
  <si>
    <t>06-512-004</t>
  </si>
  <si>
    <t>รถตัดหญ้า EU5200 แหวนลูกสูบ</t>
  </si>
  <si>
    <t>05-004-080</t>
  </si>
  <si>
    <t>หัวพรวนดิน EUROX (ขนาดแกน 28 mm.x9T)</t>
  </si>
  <si>
    <t>D21</t>
  </si>
  <si>
    <t>05-004-081</t>
  </si>
  <si>
    <t>หัวพรวนดิน EUROX Z</t>
  </si>
  <si>
    <t>05-004-090</t>
  </si>
  <si>
    <t>หัวสูบน้ำ EUROX (ขนาดแกน 28 mm.x9T)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</si>
  <si>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</si>
  <si>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</si>
  <si>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</si>
  <si>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</si>
  <si>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D22</t>
  </si>
  <si>
    <t>05-004-520</t>
  </si>
  <si>
    <t>เลื่อยโซ่ยนต์ EUROX 5200Z</t>
  </si>
  <si>
    <t>05-004-525</t>
  </si>
  <si>
    <t>เลื่อยโซ่ยนต์ EUROX 5200T</t>
  </si>
  <si>
    <t>05-004-710</t>
  </si>
  <si>
    <t>รถเข็นเจาะดิน 5200 (52.7 CC)</t>
  </si>
  <si>
    <t>D23</t>
  </si>
  <si>
    <t>05-090-121</t>
  </si>
  <si>
    <t>รถตัดหญ้า EUROX 5200Z</t>
  </si>
  <si>
    <t>R</t>
  </si>
  <si>
    <t>06-500-070</t>
  </si>
  <si>
    <t>411M บูทกกเพลา</t>
  </si>
  <si>
    <t>06-500-075</t>
  </si>
  <si>
    <t>411M ชุดกกเพลา</t>
  </si>
  <si>
    <t>06-500-181</t>
  </si>
  <si>
    <t>แฮนด์จับเครื่องตัดหญ้า</t>
  </si>
  <si>
    <t>06-500-182</t>
  </si>
  <si>
    <t>ใบตัดหญ้า 12นิ้ว</t>
  </si>
  <si>
    <t>06-500-510</t>
  </si>
  <si>
    <t>ล้อเข็นสำหรับเครื่องตัดหญ้า</t>
  </si>
  <si>
    <t>06-501-098</t>
  </si>
  <si>
    <t>GX31 ถุงอะไหล่</t>
  </si>
  <si>
    <t>06-502-272</t>
  </si>
  <si>
    <t>โซ่เลื่อยยนต์(บาร์เลเซอร์) 3/8LP-3*45</t>
  </si>
  <si>
    <t>06-503-150</t>
  </si>
  <si>
    <t>ดอกสว่านเจาะดิน 4" (100mm.)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</si>
  <si>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</si>
  <si>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</si>
  <si>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</si>
  <si>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</si>
  <si>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</si>
  <si>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</si>
  <si>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</si>
  <si>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</si>
  <si>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</si>
  <si>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</si>
  <si>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</si>
  <si>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</si>
  <si>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</si>
  <si>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</si>
  <si>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</si>
  <si>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</si>
  <si>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</si>
  <si>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</si>
  <si>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</si>
  <si>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</si>
  <si>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</si>
  <si>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</si>
  <si>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</si>
  <si>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</si>
  <si>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</si>
  <si>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</si>
  <si>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</si>
  <si>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</si>
  <si>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</si>
  <si>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</si>
  <si>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</si>
  <si>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</si>
  <si>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06-506-900</t>
  </si>
  <si>
    <t>อะไหล่ล้อหยอดเมล็ด เฟือง</t>
  </si>
  <si>
    <t>06-512-009</t>
  </si>
  <si>
    <t>รถตัดหญ้า EU5200 ชุดลูกสูบ</t>
  </si>
  <si>
    <t>99-996-500</t>
  </si>
  <si>
    <t>เครื่องคัดแยกข้าว</t>
  </si>
  <si>
    <t>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</si>
  <si>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</si>
  <si>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</si>
  <si>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</si>
  <si>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</si>
  <si>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</si>
  <si>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</si>
  <si>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</si>
  <si>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</si>
  <si>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</si>
  <si>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</si>
  <si>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</si>
  <si>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</si>
  <si>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</si>
  <si>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</si>
  <si>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</si>
  <si>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</si>
  <si>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</si>
  <si>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</si>
  <si>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</si>
  <si>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</si>
  <si>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RN-65062088</t>
  </si>
  <si>
    <t>M-00335 - ดูโฮม - เพชรเกษม</t>
  </si>
  <si>
    <t>ตัว</t>
  </si>
  <si>
    <t>ชำรุดจากโรงงาน</t>
  </si>
  <si>
    <t>คาร์บูเสียไม่จ่ายน้ำมัน</t>
  </si>
  <si>
    <t>RN-65062089</t>
  </si>
  <si>
    <t>M-00216 - ดูโฮม - บางบัวทอง (สาขาที่7)</t>
  </si>
  <si>
    <t>คาร์บูเสีย จูนแล้วไม่ติดและติดยาก</t>
  </si>
  <si>
    <t>ฝ่ายขายร้านค้า ตจว.</t>
  </si>
  <si>
    <t>RN-65022032</t>
  </si>
  <si>
    <t>C-00987 - อยุธยานานาภัณฑ์ จำกัด</t>
  </si>
  <si>
    <t>Body น้ำมันรั่ว</t>
  </si>
  <si>
    <t>RN-65062086</t>
  </si>
  <si>
    <t>โครงตรงล้อหัก</t>
  </si>
  <si>
    <t>RN-65062087</t>
  </si>
  <si>
    <t>คาร์บูเสีย (อุปกรณ์ใส่เพิ่มแล้ว)</t>
  </si>
  <si>
    <t>PN-65084026</t>
  </si>
  <si>
    <t>M-00404 - ดูโฮม - ชลบุรี</t>
  </si>
  <si>
    <t>ไม่มีคู่มือ, ใบรับประกัน, ถุงผ้าและถุงชุดน็อต</t>
  </si>
  <si>
    <t>RN-66122071</t>
  </si>
  <si>
    <t>M-00044 - ดูโฮม - รังสิต (สาขาที่3)</t>
  </si>
  <si>
    <t>ฐานพลาสติกยึดคาร์บูแตก</t>
  </si>
  <si>
    <t>RN-66112089</t>
  </si>
  <si>
    <t>สตาร์ทติดยากเครื่องติดแล้วดับ</t>
  </si>
  <si>
    <t>PE-65031025</t>
  </si>
  <si>
    <t>C-07669 - ปอแซ สตีล(SM TT NO PC)</t>
  </si>
  <si>
    <t>ลานสตรทแข็งติดดึงยากจริง เกิดจากวาล์วทำงานข้างเดียว</t>
  </si>
  <si>
    <t>PE-65031026</t>
  </si>
  <si>
    <t>M-00261 - เอี่ยมเส็ง 2003(SM TT  PC)</t>
  </si>
  <si>
    <t>ลานสตาร์ทดึงยาก เกิดจากวาล์วทำงานข้างเดียว</t>
  </si>
  <si>
    <t>PN-65084011</t>
  </si>
  <si>
    <t>M-00369 - ชัยเจริญกุดชุม จำกัด</t>
  </si>
  <si>
    <t>ด้ามจับคันเร่งไม่มี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</si>
  <si>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</si>
  <si>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</si>
  <si>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</si>
  <si>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</si>
  <si>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</si>
  <si>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</si>
  <si>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</si>
  <si>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ฝ่ายขายโมเดิร์นเทรด 2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</si>
  <si>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</si>
  <si>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</si>
  <si>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</si>
  <si>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</si>
  <si>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</si>
  <si>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</si>
  <si>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</si>
  <si>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</si>
  <si>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</si>
  <si>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</si>
  <si>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</si>
  <si>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</si>
  <si>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บอร์ดี้แตกและลานสตาร์ทรูด</t>
  </si>
  <si>
    <t>RN-65062045</t>
  </si>
  <si>
    <t>C-99999 - ขายปลีก</t>
  </si>
  <si>
    <t>ชุด</t>
  </si>
  <si>
    <t>ประกับล็อคแกนกลางไม่มี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</si>
</sst>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8" sqref="AW5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5100.0</v>
      </c>
      <c r="F3" s="5">
        <v>8741910.96</v>
      </c>
      <c r="G3" s="4">
        <v>3400.0</v>
      </c>
      <c r="H3" s="5">
        <v>6579165.8</v>
      </c>
      <c r="I3" s="4">
        <v>1556.0</v>
      </c>
      <c r="J3" s="5">
        <v>2893101.92</v>
      </c>
      <c r="K3" s="4">
        <v>4368.0</v>
      </c>
      <c r="L3" s="5">
        <v>8121509.76</v>
      </c>
      <c r="M3" s="6">
        <v>0.64377289377289</v>
      </c>
      <c r="N3" s="4">
        <v>3661.0</v>
      </c>
      <c r="O3" s="4">
        <v>327.0</v>
      </c>
      <c r="P3" s="4">
        <v>3432.0</v>
      </c>
      <c r="Q3" s="4">
        <v>312.0</v>
      </c>
      <c r="R3" s="4">
        <v>3.0</v>
      </c>
      <c r="S3" s="5">
        <v>5577.96</v>
      </c>
      <c r="T3" s="4">
        <v>287.666666</v>
      </c>
      <c r="U3" s="7">
        <v>0.010428736988247</v>
      </c>
      <c r="V3" s="5">
        <v>6771287.514</v>
      </c>
      <c r="W3" s="5">
        <v>1849.5732078667</v>
      </c>
      <c r="X3" s="5">
        <v>8501417.886</v>
      </c>
      <c r="Y3" s="5">
        <v>2322.1573029227</v>
      </c>
      <c r="Z3" s="5">
        <v>1730130.372</v>
      </c>
      <c r="AA3" s="5">
        <v>472.584095056</v>
      </c>
      <c r="AB3" s="8">
        <v>0.20351080198624</v>
      </c>
      <c r="AC3" s="4">
        <v>3661.0</v>
      </c>
      <c r="AD3" s="4">
        <v>3.0</v>
      </c>
      <c r="AE3" s="5">
        <v>5.0</v>
      </c>
      <c r="AF3" s="9">
        <v>13015.24</v>
      </c>
      <c r="AG3" s="10">
        <v>0.0013657470636438</v>
      </c>
      <c r="AH3" s="4">
        <v>1.0</v>
      </c>
      <c r="AI3" s="5">
        <v>1859.32</v>
      </c>
      <c r="AJ3" s="5">
        <v>6555207.125</v>
      </c>
      <c r="AK3" s="5">
        <v>1910.0253860723</v>
      </c>
      <c r="AL3" s="5">
        <v>9373785.284</v>
      </c>
      <c r="AM3" s="5">
        <v>2731.2894184149</v>
      </c>
      <c r="AN3" s="5">
        <v>2818578.159</v>
      </c>
      <c r="AO3" s="5">
        <v>821.26403234266</v>
      </c>
      <c r="AP3" s="11">
        <v>0.30068729692486</v>
      </c>
      <c r="AQ3" s="4">
        <v>3432.0</v>
      </c>
      <c r="AR3" s="4">
        <v>7.0</v>
      </c>
      <c r="AS3" s="4">
        <v>7.0</v>
      </c>
      <c r="AT3" s="5">
        <v>13015.24</v>
      </c>
      <c r="AU3" s="10">
        <v>0.002039627039627</v>
      </c>
      <c r="AV3" s="4">
        <v>1.0</v>
      </c>
      <c r="AW3" s="5">
        <v>1859.32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1512.0</v>
      </c>
      <c r="F4" s="5">
        <v>2105065.32</v>
      </c>
      <c r="G4" s="4">
        <v>1360.0</v>
      </c>
      <c r="H4" s="5">
        <v>1962291.2</v>
      </c>
      <c r="I4" s="4">
        <v>500.0</v>
      </c>
      <c r="J4" s="5">
        <v>728905.0</v>
      </c>
      <c r="K4" s="4">
        <v>950.72726</v>
      </c>
      <c r="L4" s="5">
        <v>1385979.706901</v>
      </c>
      <c r="M4" s="6">
        <v>0.47408681644408</v>
      </c>
      <c r="N4" s="4">
        <v>1133.0</v>
      </c>
      <c r="O4" s="4">
        <v>100.818181</v>
      </c>
      <c r="P4" s="4">
        <v>770.0</v>
      </c>
      <c r="Q4" s="4">
        <v>67.90909</v>
      </c>
      <c r="R4" s="4">
        <v>3.0</v>
      </c>
      <c r="S4" s="5">
        <v>4373.43</v>
      </c>
      <c r="T4" s="4">
        <v>64.166666</v>
      </c>
      <c r="U4" s="7">
        <v>0.046753247238995</v>
      </c>
      <c r="V4" s="5">
        <v>1637143.208</v>
      </c>
      <c r="W4" s="5">
        <v>1444.963113857</v>
      </c>
      <c r="X4" s="5">
        <v>2088295.842</v>
      </c>
      <c r="Y4" s="5">
        <v>1843.1560829656</v>
      </c>
      <c r="Z4" s="5">
        <v>451152.634</v>
      </c>
      <c r="AA4" s="5">
        <v>398.19296910856</v>
      </c>
      <c r="AB4" s="8">
        <v>0.21603865933474</v>
      </c>
      <c r="AC4" s="4">
        <v>1133.0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1114432.051</v>
      </c>
      <c r="AK4" s="5">
        <v>1447.3143519481</v>
      </c>
      <c r="AL4" s="5">
        <v>1492584.769</v>
      </c>
      <c r="AM4" s="5">
        <v>1938.4217779221</v>
      </c>
      <c r="AN4" s="5">
        <v>378152.718</v>
      </c>
      <c r="AO4" s="5">
        <v>491.10742597403</v>
      </c>
      <c r="AP4" s="11">
        <v>0.25335426560285</v>
      </c>
      <c r="AQ4" s="4">
        <v>770.0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9">
        <v>0</v>
      </c>
      <c r="F5" s="9">
        <v>0</v>
      </c>
      <c r="G5" s="4">
        <v>500.0</v>
      </c>
      <c r="H5" s="5">
        <v>1477073.08</v>
      </c>
      <c r="I5" s="4">
        <v>1300.0</v>
      </c>
      <c r="J5" s="5">
        <v>3113922.678</v>
      </c>
      <c r="K5" s="4">
        <v>904.909082</v>
      </c>
      <c r="L5" s="5">
        <v>2176749.74766</v>
      </c>
      <c r="M5" s="12">
        <v>-0.43660841277754</v>
      </c>
      <c r="N5" s="4">
        <v>458.0</v>
      </c>
      <c r="O5" s="4">
        <v>41.818181</v>
      </c>
      <c r="P5" s="4">
        <v>711.0</v>
      </c>
      <c r="Q5" s="4">
        <v>64.636363</v>
      </c>
      <c r="R5" s="4">
        <v>951.0</v>
      </c>
      <c r="S5" s="5">
        <v>2287620.99</v>
      </c>
      <c r="T5" s="4">
        <v>59.25</v>
      </c>
      <c r="U5" s="13">
        <v>16.050632911392</v>
      </c>
      <c r="V5" s="5">
        <v>1219444.621</v>
      </c>
      <c r="W5" s="5">
        <v>2662.5428406114</v>
      </c>
      <c r="X5" s="5">
        <v>1766806.843</v>
      </c>
      <c r="Y5" s="5">
        <v>3857.6568624454</v>
      </c>
      <c r="Z5" s="5">
        <v>547362.222</v>
      </c>
      <c r="AA5" s="5">
        <v>1195.1140218341</v>
      </c>
      <c r="AB5" s="11">
        <v>0.30980309147467</v>
      </c>
      <c r="AC5" s="4">
        <v>458.0</v>
      </c>
      <c r="AD5" s="9">
        <v>0</v>
      </c>
      <c r="AE5" s="5">
        <v>0</v>
      </c>
      <c r="AF5" s="9">
        <v>4810.98</v>
      </c>
      <c r="AG5" s="3">
        <v>0</v>
      </c>
      <c r="AH5" s="9">
        <v>0</v>
      </c>
      <c r="AI5" s="9">
        <v>0</v>
      </c>
      <c r="AJ5" s="5">
        <v>1923658.566</v>
      </c>
      <c r="AK5" s="5">
        <v>2705.5676033755</v>
      </c>
      <c r="AL5" s="5">
        <v>2905323.632</v>
      </c>
      <c r="AM5" s="5">
        <v>4086.2498340366</v>
      </c>
      <c r="AN5" s="5">
        <v>981665.066</v>
      </c>
      <c r="AO5" s="5">
        <v>1380.682230661</v>
      </c>
      <c r="AP5" s="11">
        <v>0.33788492792599</v>
      </c>
      <c r="AQ5" s="4">
        <v>711.0</v>
      </c>
      <c r="AR5" s="4">
        <v>2.0</v>
      </c>
      <c r="AS5" s="4">
        <v>2.0</v>
      </c>
      <c r="AT5" s="5">
        <v>4810.98</v>
      </c>
      <c r="AU5" s="10">
        <v>0.0028129395218003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4">
        <v>500.0</v>
      </c>
      <c r="F6" s="5">
        <v>949270.0</v>
      </c>
      <c r="G6" s="4">
        <v>500.0</v>
      </c>
      <c r="H6" s="5">
        <v>1004990.0</v>
      </c>
      <c r="I6" s="4">
        <v>500.0</v>
      </c>
      <c r="J6" s="5">
        <v>1028845.0</v>
      </c>
      <c r="K6" s="4">
        <v>1084.36363</v>
      </c>
      <c r="L6" s="5">
        <v>2231284.197815</v>
      </c>
      <c r="M6" s="6">
        <v>0.5389000643631</v>
      </c>
      <c r="N6" s="4">
        <v>310.0</v>
      </c>
      <c r="O6" s="4">
        <v>27.818181</v>
      </c>
      <c r="P6" s="4">
        <v>851.0</v>
      </c>
      <c r="Q6" s="4">
        <v>77.454545</v>
      </c>
      <c r="R6" s="9">
        <v>0</v>
      </c>
      <c r="S6" s="9">
        <v>0</v>
      </c>
      <c r="T6" s="4">
        <v>71.0</v>
      </c>
      <c r="U6" s="14" t="s">
        <v>53</v>
      </c>
      <c r="V6" s="5">
        <v>604466.92</v>
      </c>
      <c r="W6" s="5">
        <v>1949.8932903226</v>
      </c>
      <c r="X6" s="5">
        <v>815636.585</v>
      </c>
      <c r="Y6" s="5">
        <v>2631.0857580645</v>
      </c>
      <c r="Z6" s="5">
        <v>211169.665</v>
      </c>
      <c r="AA6" s="5">
        <v>681.19246774194</v>
      </c>
      <c r="AB6" s="11">
        <v>0.25890165900295</v>
      </c>
      <c r="AC6" s="4">
        <v>310.0</v>
      </c>
      <c r="AD6" s="9">
        <v>0</v>
      </c>
      <c r="AE6" s="4">
        <v>1.0</v>
      </c>
      <c r="AF6" s="9">
        <v>0</v>
      </c>
      <c r="AG6" s="10">
        <v>0.0032258064516129</v>
      </c>
      <c r="AH6" s="4">
        <v>1.0</v>
      </c>
      <c r="AI6" s="5">
        <v>2057.69</v>
      </c>
      <c r="AJ6" s="5">
        <v>1733990.939</v>
      </c>
      <c r="AK6" s="5">
        <v>2037.592172738</v>
      </c>
      <c r="AL6" s="5">
        <v>2375530.635</v>
      </c>
      <c r="AM6" s="5">
        <v>2791.4578554642</v>
      </c>
      <c r="AN6" s="5">
        <v>641539.696</v>
      </c>
      <c r="AO6" s="5">
        <v>753.8656827262</v>
      </c>
      <c r="AP6" s="11">
        <v>0.27006163867047</v>
      </c>
      <c r="AQ6" s="4">
        <v>851.0</v>
      </c>
      <c r="AR6" s="4">
        <v>1.0</v>
      </c>
      <c r="AS6" s="9">
        <v>0</v>
      </c>
      <c r="AT6" s="9">
        <v>0</v>
      </c>
      <c r="AU6" s="3">
        <v>0</v>
      </c>
      <c r="AV6" s="4">
        <v>1.0</v>
      </c>
      <c r="AW6" s="5">
        <v>2057.69</v>
      </c>
    </row>
    <row r="7" spans="1:49">
      <c r="A7" s="3">
        <v>5</v>
      </c>
      <c r="B7" s="3" t="s">
        <v>54</v>
      </c>
      <c r="C7" t="s">
        <v>55</v>
      </c>
      <c r="D7" s="3" t="s">
        <v>52</v>
      </c>
      <c r="E7" s="4">
        <v>20.0</v>
      </c>
      <c r="F7" s="5">
        <v>181129.762</v>
      </c>
      <c r="G7" s="4">
        <v>60.0</v>
      </c>
      <c r="H7" s="5">
        <v>596638.0</v>
      </c>
      <c r="I7" s="4">
        <v>30.0</v>
      </c>
      <c r="J7" s="5">
        <v>296035.5</v>
      </c>
      <c r="K7" s="4">
        <v>35.636356</v>
      </c>
      <c r="L7" s="5">
        <v>351654.215555</v>
      </c>
      <c r="M7" s="6">
        <v>0.1581630849125</v>
      </c>
      <c r="N7" s="4">
        <v>55.0</v>
      </c>
      <c r="O7" s="4">
        <v>4.90909</v>
      </c>
      <c r="P7" s="4">
        <v>28.0</v>
      </c>
      <c r="Q7" s="4">
        <v>2.545454</v>
      </c>
      <c r="R7" s="4">
        <v>7.0</v>
      </c>
      <c r="S7" s="5">
        <v>69074.95</v>
      </c>
      <c r="T7" s="4">
        <v>2.333333</v>
      </c>
      <c r="U7" s="7">
        <v>3.0000004285715</v>
      </c>
      <c r="V7" s="5">
        <v>538682.19</v>
      </c>
      <c r="W7" s="5">
        <v>9794.2216363636</v>
      </c>
      <c r="X7" s="5">
        <v>814721.36</v>
      </c>
      <c r="Y7" s="5">
        <v>14813.115636364</v>
      </c>
      <c r="Z7" s="5">
        <v>276039.17</v>
      </c>
      <c r="AA7" s="5">
        <v>5018.894</v>
      </c>
      <c r="AB7" s="11">
        <v>0.33881420514125</v>
      </c>
      <c r="AC7" s="4">
        <v>55.0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278555.02</v>
      </c>
      <c r="AK7" s="5">
        <v>9948.3935714286</v>
      </c>
      <c r="AL7" s="5">
        <v>389815.216</v>
      </c>
      <c r="AM7" s="5">
        <v>13921.972</v>
      </c>
      <c r="AN7" s="5">
        <v>111260.196</v>
      </c>
      <c r="AO7" s="5">
        <v>3973.5784285714</v>
      </c>
      <c r="AP7" s="11">
        <v>0.28541778625696</v>
      </c>
      <c r="AQ7" s="4">
        <v>28.0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300.0</v>
      </c>
      <c r="F8" s="5">
        <v>105300.0</v>
      </c>
      <c r="G8" s="4">
        <v>500.0</v>
      </c>
      <c r="H8" s="5">
        <v>197873.0</v>
      </c>
      <c r="I8" s="4">
        <v>200.0</v>
      </c>
      <c r="J8" s="5">
        <v>59302.0</v>
      </c>
      <c r="K8" s="4">
        <v>520.545452</v>
      </c>
      <c r="L8" s="5">
        <v>154346.931973</v>
      </c>
      <c r="M8" s="6">
        <v>0.61578763346875</v>
      </c>
      <c r="N8" s="4">
        <v>372.0</v>
      </c>
      <c r="O8" s="4">
        <v>33.545454</v>
      </c>
      <c r="P8" s="4">
        <v>400.0</v>
      </c>
      <c r="Q8" s="4">
        <v>37.181818</v>
      </c>
      <c r="R8" s="4">
        <v>175.0</v>
      </c>
      <c r="S8" s="5">
        <v>51889.25</v>
      </c>
      <c r="T8" s="4">
        <v>33.333333</v>
      </c>
      <c r="U8" s="15">
        <v>5.2500000525</v>
      </c>
      <c r="V8" s="5">
        <v>133221.995</v>
      </c>
      <c r="W8" s="5">
        <v>358.12364247312</v>
      </c>
      <c r="X8" s="5">
        <v>190073.74</v>
      </c>
      <c r="Y8" s="5">
        <v>510.95091397849</v>
      </c>
      <c r="Z8" s="5">
        <v>56851.745</v>
      </c>
      <c r="AA8" s="5">
        <v>152.82727150538</v>
      </c>
      <c r="AB8" s="11">
        <v>0.29910362683451</v>
      </c>
      <c r="AC8" s="4">
        <v>372.0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159648.292</v>
      </c>
      <c r="AK8" s="5">
        <v>399.12073</v>
      </c>
      <c r="AL8" s="5">
        <v>221993.742</v>
      </c>
      <c r="AM8" s="5">
        <v>554.984355</v>
      </c>
      <c r="AN8" s="5">
        <v>62345.45</v>
      </c>
      <c r="AO8" s="5">
        <v>155.863625</v>
      </c>
      <c r="AP8" s="11">
        <v>0.28084327710463</v>
      </c>
      <c r="AQ8" s="4">
        <v>400.0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300.0</v>
      </c>
      <c r="F9" s="5">
        <v>78561.0</v>
      </c>
      <c r="G9" s="4">
        <v>500.0</v>
      </c>
      <c r="H9" s="5">
        <v>138620.0</v>
      </c>
      <c r="I9" s="9">
        <v>0</v>
      </c>
      <c r="J9" s="9">
        <v>0</v>
      </c>
      <c r="K9" s="4">
        <v>309.272726</v>
      </c>
      <c r="L9" s="5">
        <v>85742.770556</v>
      </c>
      <c r="M9" s="6">
        <v>1.0</v>
      </c>
      <c r="N9" s="4">
        <v>197.0</v>
      </c>
      <c r="O9" s="4">
        <v>18.727272</v>
      </c>
      <c r="P9" s="4">
        <v>252.0</v>
      </c>
      <c r="Q9" s="4">
        <v>22.090909</v>
      </c>
      <c r="R9" s="4">
        <v>175.0</v>
      </c>
      <c r="S9" s="5">
        <v>48517.0</v>
      </c>
      <c r="T9" s="4">
        <v>21.0</v>
      </c>
      <c r="U9" s="13">
        <v>8.3333333333333</v>
      </c>
      <c r="V9" s="5">
        <v>52602.81</v>
      </c>
      <c r="W9" s="5">
        <v>267.01934010152</v>
      </c>
      <c r="X9" s="5">
        <v>88313.347</v>
      </c>
      <c r="Y9" s="5">
        <v>448.29110152284</v>
      </c>
      <c r="Z9" s="5">
        <v>35710.537</v>
      </c>
      <c r="AA9" s="5">
        <v>181.27176142132</v>
      </c>
      <c r="AB9" s="11">
        <v>0.40436172122431</v>
      </c>
      <c r="AC9" s="4">
        <v>197.0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47454.12</v>
      </c>
      <c r="AK9" s="5">
        <v>188.31</v>
      </c>
      <c r="AL9" s="5">
        <v>123809.971</v>
      </c>
      <c r="AM9" s="5">
        <v>491.30940873016</v>
      </c>
      <c r="AN9" s="5">
        <v>76355.851</v>
      </c>
      <c r="AO9" s="5">
        <v>302.99940873016</v>
      </c>
      <c r="AP9" s="11">
        <v>0.61671810746164</v>
      </c>
      <c r="AQ9" s="4">
        <v>252.0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2000.0</v>
      </c>
      <c r="F10" s="5">
        <v>147600.0</v>
      </c>
      <c r="G10" s="4">
        <v>1000.0</v>
      </c>
      <c r="H10" s="5">
        <v>79140.0</v>
      </c>
      <c r="I10" s="4">
        <v>1500.0</v>
      </c>
      <c r="J10" s="5">
        <v>73874.5</v>
      </c>
      <c r="K10" s="4">
        <v>1671.090904</v>
      </c>
      <c r="L10" s="5">
        <v>82334.64884</v>
      </c>
      <c r="M10" s="6">
        <v>0.10238276301455</v>
      </c>
      <c r="N10" s="4">
        <v>1681.0</v>
      </c>
      <c r="O10" s="4">
        <v>150.818181</v>
      </c>
      <c r="P10" s="4">
        <v>1320.0</v>
      </c>
      <c r="Q10" s="4">
        <v>119.363636</v>
      </c>
      <c r="R10" s="4">
        <v>509.0</v>
      </c>
      <c r="S10" s="5">
        <v>25078.43</v>
      </c>
      <c r="T10" s="4">
        <v>110.0</v>
      </c>
      <c r="U10" s="15">
        <v>4.6272727272727</v>
      </c>
      <c r="V10" s="5">
        <v>124944.22</v>
      </c>
      <c r="W10" s="5">
        <v>74.327317073171</v>
      </c>
      <c r="X10" s="5">
        <v>400592.956</v>
      </c>
      <c r="Y10" s="5">
        <v>238.30633908388</v>
      </c>
      <c r="Z10" s="5">
        <v>275648.736</v>
      </c>
      <c r="AA10" s="5">
        <v>163.97902201071</v>
      </c>
      <c r="AB10" s="11">
        <v>0.68810180476563</v>
      </c>
      <c r="AC10" s="4">
        <v>1681.0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83196.28</v>
      </c>
      <c r="AK10" s="5">
        <v>63.027484848485</v>
      </c>
      <c r="AL10" s="5">
        <v>310208.13</v>
      </c>
      <c r="AM10" s="5">
        <v>235.00615909091</v>
      </c>
      <c r="AN10" s="5">
        <v>227011.85</v>
      </c>
      <c r="AO10" s="5">
        <v>171.97867424242</v>
      </c>
      <c r="AP10" s="11">
        <v>0.73180496591111</v>
      </c>
      <c r="AQ10" s="4">
        <v>1320.0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500.0</v>
      </c>
      <c r="F11" s="5">
        <v>24600.0</v>
      </c>
      <c r="G11" s="4">
        <v>1000.0</v>
      </c>
      <c r="H11" s="5">
        <v>48520.0</v>
      </c>
      <c r="I11" s="4">
        <v>2000.0</v>
      </c>
      <c r="J11" s="5">
        <v>125429.5</v>
      </c>
      <c r="K11" s="4">
        <v>1621.454534</v>
      </c>
      <c r="L11" s="5">
        <v>101186.870194</v>
      </c>
      <c r="M11" s="12">
        <v>-0.2334604258475</v>
      </c>
      <c r="N11" s="4">
        <v>1574.0</v>
      </c>
      <c r="O11" s="4">
        <v>143.090909</v>
      </c>
      <c r="P11" s="4">
        <v>1299.0</v>
      </c>
      <c r="Q11" s="4">
        <v>115.818181</v>
      </c>
      <c r="R11" s="4">
        <v>806.0</v>
      </c>
      <c r="S11" s="5">
        <v>50298.43</v>
      </c>
      <c r="T11" s="4">
        <v>108.25</v>
      </c>
      <c r="U11" s="13">
        <v>7.445727482679</v>
      </c>
      <c r="V11" s="5">
        <v>100183.996</v>
      </c>
      <c r="W11" s="5">
        <v>63.649298602287</v>
      </c>
      <c r="X11" s="5">
        <v>269553.834</v>
      </c>
      <c r="Y11" s="5">
        <v>171.25402414231</v>
      </c>
      <c r="Z11" s="5">
        <v>169369.838</v>
      </c>
      <c r="AA11" s="5">
        <v>107.60472554003</v>
      </c>
      <c r="AB11" s="11">
        <v>0.62833399728234</v>
      </c>
      <c r="AC11" s="4">
        <v>1574.0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87675.266</v>
      </c>
      <c r="AK11" s="5">
        <v>67.494431100847</v>
      </c>
      <c r="AL11" s="5">
        <v>224022.641</v>
      </c>
      <c r="AM11" s="5">
        <v>172.45776828329</v>
      </c>
      <c r="AN11" s="5">
        <v>136347.375</v>
      </c>
      <c r="AO11" s="5">
        <v>104.96333718245</v>
      </c>
      <c r="AP11" s="11">
        <v>0.60863212035787</v>
      </c>
      <c r="AQ11" s="4">
        <v>1299.0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52</v>
      </c>
      <c r="E12" s="9">
        <v>0</v>
      </c>
      <c r="F12" s="9">
        <v>0</v>
      </c>
      <c r="G12" s="4">
        <v>52.0</v>
      </c>
      <c r="H12" s="5">
        <v>36041.2</v>
      </c>
      <c r="I12" s="9">
        <v>0</v>
      </c>
      <c r="J12" s="9">
        <v>0</v>
      </c>
      <c r="K12" s="9">
        <v>0</v>
      </c>
      <c r="L12" s="9">
        <v>0</v>
      </c>
      <c r="M12" s="16">
        <v>0</v>
      </c>
      <c r="N12" s="9">
        <v>0</v>
      </c>
      <c r="O12" s="9">
        <v>0</v>
      </c>
      <c r="P12" s="9">
        <v>0</v>
      </c>
      <c r="Q12" s="9">
        <v>0</v>
      </c>
      <c r="R12" s="4">
        <v>40.0</v>
      </c>
      <c r="S12" s="5">
        <v>27724.0</v>
      </c>
      <c r="T12" s="9">
        <v>0</v>
      </c>
      <c r="U12" s="14" t="s">
        <v>53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200.0</v>
      </c>
      <c r="F13" s="5">
        <v>68523.2</v>
      </c>
      <c r="G13" s="4">
        <v>56.0</v>
      </c>
      <c r="H13" s="5">
        <v>21177.464</v>
      </c>
      <c r="I13" s="4">
        <v>40.0</v>
      </c>
      <c r="J13" s="5">
        <v>6988.8</v>
      </c>
      <c r="K13" s="4">
        <v>136.181808</v>
      </c>
      <c r="L13" s="5">
        <v>23793.685494</v>
      </c>
      <c r="M13" s="6">
        <v>0.70627501141709</v>
      </c>
      <c r="N13" s="4">
        <v>62.0</v>
      </c>
      <c r="O13" s="4">
        <v>5.545454</v>
      </c>
      <c r="P13" s="4">
        <v>107.0</v>
      </c>
      <c r="Q13" s="4">
        <v>9.727272</v>
      </c>
      <c r="R13" s="4">
        <v>8.0</v>
      </c>
      <c r="S13" s="5">
        <v>1397.76</v>
      </c>
      <c r="T13" s="4">
        <v>8.916666</v>
      </c>
      <c r="U13" s="7">
        <v>0.89719632876234</v>
      </c>
      <c r="V13" s="5">
        <v>21667.611</v>
      </c>
      <c r="W13" s="5">
        <v>349.47759677419</v>
      </c>
      <c r="X13" s="5">
        <v>34004.55</v>
      </c>
      <c r="Y13" s="5">
        <v>548.46048387097</v>
      </c>
      <c r="Z13" s="5">
        <v>12336.939</v>
      </c>
      <c r="AA13" s="5">
        <v>198.98288709677</v>
      </c>
      <c r="AB13" s="11">
        <v>0.36280259553501</v>
      </c>
      <c r="AC13" s="4">
        <v>62.0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33096.261</v>
      </c>
      <c r="AK13" s="5">
        <v>309.31085046729</v>
      </c>
      <c r="AL13" s="5">
        <v>54190.123</v>
      </c>
      <c r="AM13" s="5">
        <v>506.44974766355</v>
      </c>
      <c r="AN13" s="5">
        <v>21093.862</v>
      </c>
      <c r="AO13" s="5">
        <v>197.13889719626</v>
      </c>
      <c r="AP13" s="11">
        <v>0.38925658094557</v>
      </c>
      <c r="AQ13" s="4">
        <v>107.0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52</v>
      </c>
      <c r="E14" s="4">
        <v>5.0</v>
      </c>
      <c r="F14" s="9">
        <v>0</v>
      </c>
      <c r="G14" s="4">
        <v>29.0</v>
      </c>
      <c r="H14" s="5">
        <v>4522.55</v>
      </c>
      <c r="I14" s="9">
        <v>0</v>
      </c>
      <c r="J14" s="9">
        <v>0</v>
      </c>
      <c r="K14" s="9">
        <v>0</v>
      </c>
      <c r="L14" s="9">
        <v>0</v>
      </c>
      <c r="M14" s="16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14" t="s">
        <v>53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70</v>
      </c>
      <c r="C15" t="s">
        <v>71</v>
      </c>
      <c r="D15" s="3" t="s">
        <v>52</v>
      </c>
      <c r="E15" s="9">
        <v>0</v>
      </c>
      <c r="F15" s="9">
        <v>0</v>
      </c>
      <c r="G15" s="4">
        <v>30.0</v>
      </c>
      <c r="H15" s="5">
        <v>2807.1</v>
      </c>
      <c r="I15" s="9">
        <v>0</v>
      </c>
      <c r="J15" s="9">
        <v>0</v>
      </c>
      <c r="K15" s="9">
        <v>0</v>
      </c>
      <c r="L15" s="9">
        <v>0</v>
      </c>
      <c r="M15" s="16">
        <v>0</v>
      </c>
      <c r="N15" s="4">
        <v>1.0</v>
      </c>
      <c r="O15" s="4">
        <v>0.090909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4" t="s">
        <v>53</v>
      </c>
      <c r="V15" s="5">
        <v>93.57</v>
      </c>
      <c r="W15" s="5">
        <v>93.57</v>
      </c>
      <c r="X15" s="5">
        <v>280.374</v>
      </c>
      <c r="Y15" s="5">
        <v>280.374</v>
      </c>
      <c r="Z15" s="5">
        <v>186.804</v>
      </c>
      <c r="AA15" s="5">
        <v>186.804</v>
      </c>
      <c r="AB15" s="11">
        <v>0.66626720023968</v>
      </c>
      <c r="AC15" s="4">
        <v>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52</v>
      </c>
      <c r="E16" s="9">
        <v>0</v>
      </c>
      <c r="F16" s="9">
        <v>0</v>
      </c>
      <c r="G16" s="4">
        <v>30.0</v>
      </c>
      <c r="H16" s="5">
        <v>2490.39</v>
      </c>
      <c r="I16" s="9">
        <v>0</v>
      </c>
      <c r="J16" s="9">
        <v>0</v>
      </c>
      <c r="K16" s="9">
        <v>0</v>
      </c>
      <c r="L16" s="9">
        <v>0</v>
      </c>
      <c r="M16" s="16">
        <v>0</v>
      </c>
      <c r="N16" s="4">
        <v>1.0</v>
      </c>
      <c r="O16" s="4">
        <v>0.090909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14" t="s">
        <v>53</v>
      </c>
      <c r="V16" s="5">
        <v>83.01</v>
      </c>
      <c r="W16" s="5">
        <v>83.01</v>
      </c>
      <c r="X16" s="5">
        <v>140.187</v>
      </c>
      <c r="Y16" s="5">
        <v>140.187</v>
      </c>
      <c r="Z16" s="5">
        <v>57.177</v>
      </c>
      <c r="AA16" s="5">
        <v>57.177</v>
      </c>
      <c r="AB16" s="11">
        <v>0.40786235528259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52</v>
      </c>
      <c r="E17" s="9">
        <v>0</v>
      </c>
      <c r="F17" s="9">
        <v>0</v>
      </c>
      <c r="G17" s="4">
        <v>30.0</v>
      </c>
      <c r="H17" s="5">
        <v>2391.3</v>
      </c>
      <c r="I17" s="9">
        <v>0</v>
      </c>
      <c r="J17" s="9">
        <v>0</v>
      </c>
      <c r="K17" s="9">
        <v>0</v>
      </c>
      <c r="L17" s="9">
        <v>0</v>
      </c>
      <c r="M17" s="16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4" t="s">
        <v>53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52</v>
      </c>
      <c r="E18" s="9">
        <v>0</v>
      </c>
      <c r="F18" s="9">
        <v>0</v>
      </c>
      <c r="G18" s="4">
        <v>29.0</v>
      </c>
      <c r="H18" s="5">
        <v>2110.62</v>
      </c>
      <c r="I18" s="9">
        <v>0</v>
      </c>
      <c r="J18" s="9">
        <v>0</v>
      </c>
      <c r="K18" s="9">
        <v>0</v>
      </c>
      <c r="L18" s="9">
        <v>0</v>
      </c>
      <c r="M18" s="16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4" t="s">
        <v>53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52</v>
      </c>
      <c r="E19" s="9">
        <v>0</v>
      </c>
      <c r="F19" s="9">
        <v>0</v>
      </c>
      <c r="G19" s="4">
        <v>30.0</v>
      </c>
      <c r="H19" s="5">
        <v>1351.5</v>
      </c>
      <c r="I19" s="9">
        <v>0</v>
      </c>
      <c r="J19" s="9">
        <v>0</v>
      </c>
      <c r="K19" s="9">
        <v>0</v>
      </c>
      <c r="L19" s="9">
        <v>0</v>
      </c>
      <c r="M19" s="16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4" t="s">
        <v>53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52</v>
      </c>
      <c r="E20" s="9">
        <v>0</v>
      </c>
      <c r="F20" s="9">
        <v>0</v>
      </c>
      <c r="G20" s="4">
        <v>60.0</v>
      </c>
      <c r="H20" s="5">
        <v>208.2</v>
      </c>
      <c r="I20" s="9">
        <v>0</v>
      </c>
      <c r="J20" s="9">
        <v>0</v>
      </c>
      <c r="K20" s="9">
        <v>0</v>
      </c>
      <c r="L20" s="9">
        <v>0</v>
      </c>
      <c r="M20" s="16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14" t="s">
        <v>53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52</v>
      </c>
      <c r="E21" s="9">
        <v>0</v>
      </c>
      <c r="F21" s="9">
        <v>0</v>
      </c>
      <c r="G21" s="4">
        <v>30.0</v>
      </c>
      <c r="H21" s="5">
        <v>207.9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4">
        <v>1.0</v>
      </c>
      <c r="O21" s="4">
        <v>0.090909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4" t="s">
        <v>53</v>
      </c>
      <c r="V21" s="5">
        <v>6.93</v>
      </c>
      <c r="W21" s="5">
        <v>6.93</v>
      </c>
      <c r="X21" s="5">
        <v>13.08</v>
      </c>
      <c r="Y21" s="5">
        <v>13.08</v>
      </c>
      <c r="Z21" s="5">
        <v>6.15</v>
      </c>
      <c r="AA21" s="5">
        <v>6.15</v>
      </c>
      <c r="AB21" s="11">
        <v>0.47018348623853</v>
      </c>
      <c r="AC21" s="4">
        <v>1.0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86</v>
      </c>
      <c r="E22" s="4">
        <v>200.0</v>
      </c>
      <c r="F22" s="5">
        <v>154745.8</v>
      </c>
      <c r="G22" s="9">
        <v>0</v>
      </c>
      <c r="H22" s="9">
        <v>0</v>
      </c>
      <c r="I22" s="9">
        <v>0</v>
      </c>
      <c r="J22" s="9">
        <v>0</v>
      </c>
      <c r="K22" s="4">
        <v>36.909082</v>
      </c>
      <c r="L22" s="5">
        <v>28537.364021</v>
      </c>
      <c r="M22" s="6">
        <v>1.0</v>
      </c>
      <c r="N22" s="4">
        <v>34.0</v>
      </c>
      <c r="O22" s="4">
        <v>3.090909</v>
      </c>
      <c r="P22" s="4">
        <v>29.0</v>
      </c>
      <c r="Q22" s="4">
        <v>2.636363</v>
      </c>
      <c r="R22" s="4">
        <v>128.0</v>
      </c>
      <c r="S22" s="5">
        <v>98967.04</v>
      </c>
      <c r="T22" s="4">
        <v>2.416666</v>
      </c>
      <c r="U22" s="13">
        <v>52.965531852561</v>
      </c>
      <c r="V22" s="5">
        <v>26351.792</v>
      </c>
      <c r="W22" s="5">
        <v>775.05270588235</v>
      </c>
      <c r="X22" s="5">
        <v>35407.703</v>
      </c>
      <c r="Y22" s="5">
        <v>1041.4030294118</v>
      </c>
      <c r="Z22" s="5">
        <v>9055.911</v>
      </c>
      <c r="AA22" s="5">
        <v>266.35032352941</v>
      </c>
      <c r="AB22" s="11">
        <v>0.2557610416016</v>
      </c>
      <c r="AC22" s="4">
        <v>34.0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23300.902</v>
      </c>
      <c r="AK22" s="5">
        <v>803.47937931034</v>
      </c>
      <c r="AL22" s="5">
        <v>29225.254</v>
      </c>
      <c r="AM22" s="5">
        <v>1007.7673793103</v>
      </c>
      <c r="AN22" s="5">
        <v>5924.352</v>
      </c>
      <c r="AO22" s="5">
        <v>204.288</v>
      </c>
      <c r="AP22" s="8">
        <v>0.20271344775994</v>
      </c>
      <c r="AQ22" s="4">
        <v>29.0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87</v>
      </c>
      <c r="C23" t="s">
        <v>88</v>
      </c>
      <c r="D23" s="3" t="s">
        <v>45</v>
      </c>
      <c r="E23" s="4">
        <v>100.0</v>
      </c>
      <c r="F23" s="5">
        <v>77318.0</v>
      </c>
      <c r="G23" s="9">
        <v>0</v>
      </c>
      <c r="H23" s="9">
        <v>0</v>
      </c>
      <c r="I23" s="9">
        <v>0</v>
      </c>
      <c r="J23" s="9">
        <v>0</v>
      </c>
      <c r="K23" s="4">
        <v>50.909082</v>
      </c>
      <c r="L23" s="5">
        <v>39361.884021</v>
      </c>
      <c r="M23" s="6">
        <v>1.0</v>
      </c>
      <c r="N23" s="4">
        <v>48.0</v>
      </c>
      <c r="O23" s="4">
        <v>4.363636</v>
      </c>
      <c r="P23" s="4">
        <v>8.0</v>
      </c>
      <c r="Q23" s="4">
        <v>3.636363</v>
      </c>
      <c r="R23" s="4">
        <v>29.0</v>
      </c>
      <c r="S23" s="5">
        <v>22422.22</v>
      </c>
      <c r="T23" s="4">
        <v>0.666666</v>
      </c>
      <c r="U23" s="13">
        <v>43.500043500044</v>
      </c>
      <c r="V23" s="5">
        <v>36874.391</v>
      </c>
      <c r="W23" s="5">
        <v>768.21647916667</v>
      </c>
      <c r="X23" s="5">
        <v>54798.093</v>
      </c>
      <c r="Y23" s="5">
        <v>1141.6269375</v>
      </c>
      <c r="Z23" s="5">
        <v>17923.702</v>
      </c>
      <c r="AA23" s="5">
        <v>373.41045833333</v>
      </c>
      <c r="AB23" s="11">
        <v>0.32708623637688</v>
      </c>
      <c r="AC23" s="4">
        <v>48.0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6030.09</v>
      </c>
      <c r="AK23" s="5">
        <v>753.76125</v>
      </c>
      <c r="AL23" s="5">
        <v>11259.982</v>
      </c>
      <c r="AM23" s="5">
        <v>1407.49775</v>
      </c>
      <c r="AN23" s="5">
        <v>5229.892</v>
      </c>
      <c r="AO23" s="5">
        <v>653.7365</v>
      </c>
      <c r="AP23" s="11">
        <v>0.46446717232763</v>
      </c>
      <c r="AQ23" s="4">
        <v>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89</v>
      </c>
      <c r="C24" t="s">
        <v>90</v>
      </c>
      <c r="D24" s="3" t="s">
        <v>86</v>
      </c>
      <c r="E24" s="4">
        <v>600.0</v>
      </c>
      <c r="F24" s="5">
        <v>210600.0</v>
      </c>
      <c r="G24" s="9">
        <v>0</v>
      </c>
      <c r="H24" s="9">
        <v>0</v>
      </c>
      <c r="I24" s="9">
        <v>0</v>
      </c>
      <c r="J24" s="9">
        <v>0</v>
      </c>
      <c r="K24" s="4">
        <v>1.272726</v>
      </c>
      <c r="L24" s="5">
        <v>446.726826</v>
      </c>
      <c r="M24" s="6">
        <v>1.0</v>
      </c>
      <c r="N24" s="4">
        <v>176.0</v>
      </c>
      <c r="O24" s="4">
        <v>16.0</v>
      </c>
      <c r="P24" s="4">
        <v>1.0</v>
      </c>
      <c r="Q24" s="4">
        <v>0.090909</v>
      </c>
      <c r="R24" s="9">
        <v>0</v>
      </c>
      <c r="S24" s="9">
        <v>0</v>
      </c>
      <c r="T24" s="4">
        <v>0.083333</v>
      </c>
      <c r="U24" s="14" t="s">
        <v>53</v>
      </c>
      <c r="V24" s="5">
        <v>61721.99</v>
      </c>
      <c r="W24" s="5">
        <v>350.693125</v>
      </c>
      <c r="X24" s="5">
        <v>87686.804</v>
      </c>
      <c r="Y24" s="5">
        <v>498.22047727273</v>
      </c>
      <c r="Z24" s="5">
        <v>25964.814</v>
      </c>
      <c r="AA24" s="5">
        <v>147.52735227273</v>
      </c>
      <c r="AB24" s="11">
        <v>0.29610856839987</v>
      </c>
      <c r="AC24" s="4">
        <v>176.0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338.89</v>
      </c>
      <c r="AK24" s="5">
        <v>338.89</v>
      </c>
      <c r="AL24" s="5">
        <v>351.0</v>
      </c>
      <c r="AM24" s="5">
        <v>351.0</v>
      </c>
      <c r="AN24" s="5">
        <v>12.11</v>
      </c>
      <c r="AO24" s="5">
        <v>12.11</v>
      </c>
      <c r="AP24" s="8">
        <v>0.034501424501425</v>
      </c>
      <c r="AQ24" s="4">
        <v>1.0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91</v>
      </c>
      <c r="C25" t="s">
        <v>92</v>
      </c>
      <c r="D25" s="3" t="s">
        <v>86</v>
      </c>
      <c r="E25" s="4">
        <v>870.0</v>
      </c>
      <c r="F25" s="5">
        <v>4558503.6</v>
      </c>
      <c r="G25" s="9">
        <v>0</v>
      </c>
      <c r="H25" s="9">
        <v>0</v>
      </c>
      <c r="I25" s="9">
        <v>0</v>
      </c>
      <c r="J25" s="9">
        <v>0</v>
      </c>
      <c r="K25" s="4">
        <v>249.454534</v>
      </c>
      <c r="L25" s="5">
        <v>1411795.418809</v>
      </c>
      <c r="M25" s="6">
        <v>1.0</v>
      </c>
      <c r="N25" s="4">
        <v>212.0</v>
      </c>
      <c r="O25" s="4">
        <v>19.272727</v>
      </c>
      <c r="P25" s="4">
        <v>156.0</v>
      </c>
      <c r="Q25" s="4">
        <v>17.818181</v>
      </c>
      <c r="R25" s="4">
        <v>68.0</v>
      </c>
      <c r="S25" s="5">
        <v>384848.04</v>
      </c>
      <c r="T25" s="4">
        <v>13.0</v>
      </c>
      <c r="U25" s="15">
        <v>5.2307692307692</v>
      </c>
      <c r="V25" s="5">
        <v>1146541.746</v>
      </c>
      <c r="W25" s="5">
        <v>5408.2157830189</v>
      </c>
      <c r="X25" s="5">
        <v>1692429.874</v>
      </c>
      <c r="Y25" s="5">
        <v>7983.1597830189</v>
      </c>
      <c r="Z25" s="5">
        <v>545888.128</v>
      </c>
      <c r="AA25" s="5">
        <v>2574.944</v>
      </c>
      <c r="AB25" s="11">
        <v>0.32254697012043</v>
      </c>
      <c r="AC25" s="4">
        <v>212.0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881638.212</v>
      </c>
      <c r="AK25" s="5">
        <v>5651.527</v>
      </c>
      <c r="AL25" s="5">
        <v>798522.325</v>
      </c>
      <c r="AM25" s="5">
        <v>5118.7328525641</v>
      </c>
      <c r="AN25" s="5">
        <v>-83115.887</v>
      </c>
      <c r="AO25" s="5">
        <v>-532.7941474359</v>
      </c>
      <c r="AP25" s="17">
        <v>-0.10408711741403</v>
      </c>
      <c r="AQ25" s="4">
        <v>156.0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93</v>
      </c>
      <c r="C26" t="s">
        <v>94</v>
      </c>
      <c r="D26" s="3" t="s">
        <v>95</v>
      </c>
      <c r="E26" s="4">
        <v>100.0</v>
      </c>
      <c r="F26" s="5">
        <v>447725.0</v>
      </c>
      <c r="G26" s="9">
        <v>0</v>
      </c>
      <c r="H26" s="9">
        <v>0</v>
      </c>
      <c r="I26" s="9">
        <v>0</v>
      </c>
      <c r="J26" s="9">
        <v>0</v>
      </c>
      <c r="K26" s="4">
        <v>17.818178</v>
      </c>
      <c r="L26" s="5">
        <v>80528.542744</v>
      </c>
      <c r="M26" s="6">
        <v>1.0</v>
      </c>
      <c r="N26" s="4">
        <v>35.0</v>
      </c>
      <c r="O26" s="4">
        <v>3.181818</v>
      </c>
      <c r="P26" s="4">
        <v>14.0</v>
      </c>
      <c r="Q26" s="4">
        <v>1.272727</v>
      </c>
      <c r="R26" s="4">
        <v>1.0</v>
      </c>
      <c r="S26" s="5">
        <v>4519.46</v>
      </c>
      <c r="T26" s="4">
        <v>1.166666</v>
      </c>
      <c r="U26" s="7">
        <v>0.85714334693906</v>
      </c>
      <c r="V26" s="5">
        <v>157028.75</v>
      </c>
      <c r="W26" s="5">
        <v>4486.5357142857</v>
      </c>
      <c r="X26" s="5">
        <v>265698.316</v>
      </c>
      <c r="Y26" s="5">
        <v>7591.3804571429</v>
      </c>
      <c r="Z26" s="5">
        <v>108669.566</v>
      </c>
      <c r="AA26" s="5">
        <v>3104.8447428571</v>
      </c>
      <c r="AB26" s="11">
        <v>0.40899606604959</v>
      </c>
      <c r="AC26" s="4">
        <v>35.0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62449.76</v>
      </c>
      <c r="AK26" s="5">
        <v>4460.6971428571</v>
      </c>
      <c r="AL26" s="5">
        <v>102740.262</v>
      </c>
      <c r="AM26" s="5">
        <v>7338.5901428571</v>
      </c>
      <c r="AN26" s="5">
        <v>40290.502</v>
      </c>
      <c r="AO26" s="5">
        <v>2877.893</v>
      </c>
      <c r="AP26" s="11">
        <v>0.3921588403191</v>
      </c>
      <c r="AQ26" s="4">
        <v>14.0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86</v>
      </c>
      <c r="E27" s="4">
        <v>500.0</v>
      </c>
      <c r="F27" s="5">
        <v>946255.0</v>
      </c>
      <c r="G27" s="9">
        <v>0</v>
      </c>
      <c r="H27" s="9">
        <v>0</v>
      </c>
      <c r="I27" s="9">
        <v>0</v>
      </c>
      <c r="J27" s="9">
        <v>0</v>
      </c>
      <c r="K27" s="4">
        <v>2.545452</v>
      </c>
      <c r="L27" s="5">
        <v>4817.293365</v>
      </c>
      <c r="M27" s="6">
        <v>1.0</v>
      </c>
      <c r="N27" s="4">
        <v>2.0</v>
      </c>
      <c r="O27" s="4">
        <v>0.454545</v>
      </c>
      <c r="P27" s="4">
        <v>1.0</v>
      </c>
      <c r="Q27" s="4">
        <v>0.181818</v>
      </c>
      <c r="R27" s="4">
        <v>8.0</v>
      </c>
      <c r="S27" s="5">
        <v>15140.08</v>
      </c>
      <c r="T27" s="4">
        <v>0.083333</v>
      </c>
      <c r="U27" s="13">
        <v>96.000384001536</v>
      </c>
      <c r="V27" s="5">
        <v>4394.79</v>
      </c>
      <c r="W27" s="5">
        <v>2197.395</v>
      </c>
      <c r="X27" s="5">
        <v>4298.816</v>
      </c>
      <c r="Y27" s="5">
        <v>2149.408</v>
      </c>
      <c r="Z27" s="5">
        <v>-95.974</v>
      </c>
      <c r="AA27" s="5">
        <v>-47.987</v>
      </c>
      <c r="AB27" s="17">
        <v>-0.022325682234364</v>
      </c>
      <c r="AC27" s="4">
        <v>2.0</v>
      </c>
      <c r="AD27" s="4">
        <v>3.0</v>
      </c>
      <c r="AE27" s="4">
        <v>3.0</v>
      </c>
      <c r="AF27" s="9">
        <v>0</v>
      </c>
      <c r="AG27" s="10">
        <v>1.5</v>
      </c>
      <c r="AH27" s="9">
        <v>0</v>
      </c>
      <c r="AI27" s="9">
        <v>0</v>
      </c>
      <c r="AJ27" s="5">
        <v>862.55</v>
      </c>
      <c r="AK27" s="5">
        <v>862.55</v>
      </c>
      <c r="AL27" s="5">
        <v>168.009</v>
      </c>
      <c r="AM27" s="5">
        <v>168.009</v>
      </c>
      <c r="AN27" s="5">
        <v>-694.541</v>
      </c>
      <c r="AO27" s="5">
        <v>-694.541</v>
      </c>
      <c r="AP27" s="17">
        <v>-4.1339511573785</v>
      </c>
      <c r="AQ27" s="4">
        <v>1.0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95</v>
      </c>
      <c r="E28" s="4">
        <v>1200.0</v>
      </c>
      <c r="F28" s="5">
        <v>1928074.0</v>
      </c>
      <c r="G28" s="9">
        <v>0</v>
      </c>
      <c r="H28" s="9">
        <v>0</v>
      </c>
      <c r="I28" s="9">
        <v>0</v>
      </c>
      <c r="J28" s="9">
        <v>0</v>
      </c>
      <c r="K28" s="4">
        <v>3.818178</v>
      </c>
      <c r="L28" s="5">
        <v>6509.535309</v>
      </c>
      <c r="M28" s="6">
        <v>1.0</v>
      </c>
      <c r="N28" s="4">
        <v>8.0</v>
      </c>
      <c r="O28" s="4">
        <v>0.727272</v>
      </c>
      <c r="P28" s="4">
        <v>1.0</v>
      </c>
      <c r="Q28" s="4">
        <v>0.272727</v>
      </c>
      <c r="R28" s="9">
        <v>0</v>
      </c>
      <c r="S28" s="9">
        <v>0</v>
      </c>
      <c r="T28" s="4">
        <v>0.083333</v>
      </c>
      <c r="U28" s="14" t="s">
        <v>53</v>
      </c>
      <c r="V28" s="5">
        <v>13130.35</v>
      </c>
      <c r="W28" s="5">
        <v>1641.29375</v>
      </c>
      <c r="X28" s="5">
        <v>16962.622</v>
      </c>
      <c r="Y28" s="5">
        <v>2120.32775</v>
      </c>
      <c r="Z28" s="5">
        <v>3832.272</v>
      </c>
      <c r="AA28" s="5">
        <v>479.034</v>
      </c>
      <c r="AB28" s="8">
        <v>0.22592450624673</v>
      </c>
      <c r="AC28" s="4">
        <v>8.0</v>
      </c>
      <c r="AD28" s="4">
        <v>1.0</v>
      </c>
      <c r="AE28" s="5">
        <v>1.0</v>
      </c>
      <c r="AF28" s="9">
        <v>1704.88</v>
      </c>
      <c r="AG28" s="10">
        <v>0.125</v>
      </c>
      <c r="AH28" s="9">
        <v>0</v>
      </c>
      <c r="AI28" s="9">
        <v>0</v>
      </c>
      <c r="AJ28" s="5">
        <v>2644.089</v>
      </c>
      <c r="AK28" s="5">
        <v>2644.089</v>
      </c>
      <c r="AL28" s="5">
        <v>1470.327</v>
      </c>
      <c r="AM28" s="5">
        <v>1470.327</v>
      </c>
      <c r="AN28" s="5">
        <v>-1173.762</v>
      </c>
      <c r="AO28" s="5">
        <v>-1173.762</v>
      </c>
      <c r="AP28" s="17">
        <v>-0.79829997000667</v>
      </c>
      <c r="AQ28" s="4">
        <v>1.0</v>
      </c>
      <c r="AR28" s="9">
        <v>0</v>
      </c>
      <c r="AS28" s="4">
        <v>1.0</v>
      </c>
      <c r="AT28" s="5">
        <v>1704.88</v>
      </c>
      <c r="AU28" s="10">
        <v>1.0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102</v>
      </c>
      <c r="E29" s="4">
        <v>50.0</v>
      </c>
      <c r="F29" s="5">
        <v>178998.85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6">
        <v>0</v>
      </c>
      <c r="N29" s="4">
        <v>50.0</v>
      </c>
      <c r="O29" s="4">
        <v>4.545454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4" t="s">
        <v>53</v>
      </c>
      <c r="V29" s="5">
        <v>179549.493</v>
      </c>
      <c r="W29" s="5">
        <v>3590.98986</v>
      </c>
      <c r="X29" s="5">
        <v>260945.776</v>
      </c>
      <c r="Y29" s="5">
        <v>5218.91552</v>
      </c>
      <c r="Z29" s="5">
        <v>81396.283</v>
      </c>
      <c r="AA29" s="5">
        <v>1627.92566</v>
      </c>
      <c r="AB29" s="11">
        <v>0.31192795778384</v>
      </c>
      <c r="AC29" s="4">
        <v>50.0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3">
        <v>0</v>
      </c>
      <c r="AQ29" s="9">
        <v>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105</v>
      </c>
      <c r="E30" s="4">
        <v>524.0</v>
      </c>
      <c r="F30" s="5">
        <v>1228599.818</v>
      </c>
      <c r="G30" s="9">
        <v>0</v>
      </c>
      <c r="H30" s="9">
        <v>0</v>
      </c>
      <c r="I30" s="9">
        <v>0</v>
      </c>
      <c r="J30" s="9">
        <v>0</v>
      </c>
      <c r="K30" s="4">
        <v>652.909082</v>
      </c>
      <c r="L30" s="5">
        <v>1520781.950158</v>
      </c>
      <c r="M30" s="6">
        <v>1.0</v>
      </c>
      <c r="N30" s="4">
        <v>257.0</v>
      </c>
      <c r="O30" s="4">
        <v>23.363636</v>
      </c>
      <c r="P30" s="4">
        <v>495.0</v>
      </c>
      <c r="Q30" s="4">
        <v>46.636363</v>
      </c>
      <c r="R30" s="4">
        <v>7.0</v>
      </c>
      <c r="S30" s="5">
        <v>16304.68</v>
      </c>
      <c r="T30" s="4">
        <v>41.25</v>
      </c>
      <c r="U30" s="7">
        <v>0.16969696969697</v>
      </c>
      <c r="V30" s="5">
        <v>596549.022</v>
      </c>
      <c r="W30" s="5">
        <v>2321.2024202335</v>
      </c>
      <c r="X30" s="5">
        <v>925083.007</v>
      </c>
      <c r="Y30" s="5">
        <v>3599.5447743191</v>
      </c>
      <c r="Z30" s="5">
        <v>328533.985</v>
      </c>
      <c r="AA30" s="5">
        <v>1278.3423540856</v>
      </c>
      <c r="AB30" s="11">
        <v>0.35514000637134</v>
      </c>
      <c r="AC30" s="4">
        <v>257.0</v>
      </c>
      <c r="AD30" s="4">
        <v>3.0</v>
      </c>
      <c r="AE30" s="4">
        <v>4.0</v>
      </c>
      <c r="AF30" s="9">
        <v>0</v>
      </c>
      <c r="AG30" s="10">
        <v>0.01556420233463</v>
      </c>
      <c r="AH30" s="4">
        <v>1.0</v>
      </c>
      <c r="AI30" s="5">
        <v>2329.24</v>
      </c>
      <c r="AJ30" s="5">
        <v>1160029.789</v>
      </c>
      <c r="AK30" s="5">
        <v>2343.4945232323</v>
      </c>
      <c r="AL30" s="5">
        <v>1760136.809</v>
      </c>
      <c r="AM30" s="5">
        <v>3555.8319373737</v>
      </c>
      <c r="AN30" s="5">
        <v>600107.02</v>
      </c>
      <c r="AO30" s="5">
        <v>1212.3374141414</v>
      </c>
      <c r="AP30" s="11">
        <v>0.34094339538353</v>
      </c>
      <c r="AQ30" s="4">
        <v>495.0</v>
      </c>
      <c r="AR30" s="4">
        <v>1.0</v>
      </c>
      <c r="AS30" s="9">
        <v>0</v>
      </c>
      <c r="AT30" s="9">
        <v>0</v>
      </c>
      <c r="AU30" s="3">
        <v>0</v>
      </c>
      <c r="AV30" s="4">
        <v>1.0</v>
      </c>
      <c r="AW30" s="5">
        <v>2329.24</v>
      </c>
    </row>
    <row r="31" spans="1:49">
      <c r="A31" s="3">
        <v>29</v>
      </c>
      <c r="B31" s="3" t="s">
        <v>106</v>
      </c>
      <c r="C31" t="s">
        <v>107</v>
      </c>
      <c r="D31" s="3" t="s">
        <v>52</v>
      </c>
      <c r="E31" s="4">
        <v>30.0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4">
        <v>25.0</v>
      </c>
      <c r="S31" s="9">
        <v>0</v>
      </c>
      <c r="T31" s="9">
        <v>0</v>
      </c>
      <c r="U31" s="14" t="s">
        <v>53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52</v>
      </c>
      <c r="E32" s="4">
        <v>20.0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4">
        <v>1.272726</v>
      </c>
      <c r="L32" s="9">
        <v>0</v>
      </c>
      <c r="M32" s="6">
        <v>1.0</v>
      </c>
      <c r="N32" s="9">
        <v>0</v>
      </c>
      <c r="O32" s="9">
        <v>0</v>
      </c>
      <c r="P32" s="4">
        <v>1.0</v>
      </c>
      <c r="Q32" s="4">
        <v>0.090909</v>
      </c>
      <c r="R32" s="4">
        <v>13.0</v>
      </c>
      <c r="S32" s="9">
        <v>0</v>
      </c>
      <c r="T32" s="4">
        <v>0.083333</v>
      </c>
      <c r="U32" s="13">
        <v>156.0006240025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5">
        <v>0.0</v>
      </c>
      <c r="AL32" s="9">
        <v>0</v>
      </c>
      <c r="AM32" s="5">
        <v>0.0</v>
      </c>
      <c r="AN32" s="9">
        <v>0</v>
      </c>
      <c r="AO32" s="5">
        <v>0.0</v>
      </c>
      <c r="AP32" s="3">
        <v>0</v>
      </c>
      <c r="AQ32" s="4">
        <v>1.0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52</v>
      </c>
      <c r="E33" s="4">
        <v>5.0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4" t="s">
        <v>53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52</v>
      </c>
      <c r="E34" s="4">
        <v>3.0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95</v>
      </c>
      <c r="E35" s="4">
        <v>694.0</v>
      </c>
      <c r="F35" s="5">
        <v>139502.328</v>
      </c>
      <c r="G35" s="9">
        <v>0</v>
      </c>
      <c r="H35" s="9">
        <v>0</v>
      </c>
      <c r="I35" s="4">
        <v>200.0</v>
      </c>
      <c r="J35" s="5">
        <v>44207.6</v>
      </c>
      <c r="K35" s="4">
        <v>120.909082</v>
      </c>
      <c r="L35" s="5">
        <v>26725.501667</v>
      </c>
      <c r="M35" s="12">
        <v>-0.65413546022953</v>
      </c>
      <c r="N35" s="4">
        <v>282.0</v>
      </c>
      <c r="O35" s="4">
        <v>25.545454</v>
      </c>
      <c r="P35" s="4">
        <v>95.0</v>
      </c>
      <c r="Q35" s="4">
        <v>8.636363</v>
      </c>
      <c r="R35" s="4">
        <v>107.0</v>
      </c>
      <c r="S35" s="5">
        <v>23651.066</v>
      </c>
      <c r="T35" s="4">
        <v>7.916666</v>
      </c>
      <c r="U35" s="13">
        <v>13.515790611856</v>
      </c>
      <c r="V35" s="5">
        <v>56685.377</v>
      </c>
      <c r="W35" s="5">
        <v>201.0119751773</v>
      </c>
      <c r="X35" s="5">
        <v>103064.224</v>
      </c>
      <c r="Y35" s="5">
        <v>365.47597163121</v>
      </c>
      <c r="Z35" s="5">
        <v>46378.847</v>
      </c>
      <c r="AA35" s="5">
        <v>164.4639964539</v>
      </c>
      <c r="AB35" s="11">
        <v>0.44999947799539</v>
      </c>
      <c r="AC35" s="4">
        <v>282.0</v>
      </c>
      <c r="AD35" s="4">
        <v>1.0</v>
      </c>
      <c r="AE35" s="4">
        <v>1.0</v>
      </c>
      <c r="AF35" s="9">
        <v>0</v>
      </c>
      <c r="AG35" s="10">
        <v>0.0035460992907801</v>
      </c>
      <c r="AH35" s="9">
        <v>0</v>
      </c>
      <c r="AI35" s="9">
        <v>0</v>
      </c>
      <c r="AJ35" s="5">
        <v>20709.34</v>
      </c>
      <c r="AK35" s="5">
        <v>217.99305263158</v>
      </c>
      <c r="AL35" s="5">
        <v>19303.213</v>
      </c>
      <c r="AM35" s="5">
        <v>203.19171578947</v>
      </c>
      <c r="AN35" s="5">
        <v>-1406.127</v>
      </c>
      <c r="AO35" s="5">
        <v>-14.801336842105</v>
      </c>
      <c r="AP35" s="17">
        <v>-0.072844194383598</v>
      </c>
      <c r="AQ35" s="4">
        <v>95.0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52</v>
      </c>
      <c r="E36" s="4">
        <v>25.0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53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52</v>
      </c>
      <c r="E37" s="9">
        <v>0</v>
      </c>
      <c r="F37" s="9">
        <v>0</v>
      </c>
      <c r="G37" s="9">
        <v>0</v>
      </c>
      <c r="H37" s="9">
        <v>0</v>
      </c>
      <c r="I37" s="4">
        <v>1000.0</v>
      </c>
      <c r="J37" s="9">
        <v>0</v>
      </c>
      <c r="K37" s="9">
        <v>0</v>
      </c>
      <c r="L37" s="9">
        <v>0</v>
      </c>
      <c r="M37" s="16">
        <v>0</v>
      </c>
      <c r="N37" s="9">
        <v>0</v>
      </c>
      <c r="O37" s="9">
        <v>0</v>
      </c>
      <c r="P37" s="9">
        <v>0</v>
      </c>
      <c r="Q37" s="9">
        <v>0</v>
      </c>
      <c r="R37" s="4">
        <v>995.0</v>
      </c>
      <c r="S37" s="9">
        <v>0</v>
      </c>
      <c r="T37" s="9">
        <v>0</v>
      </c>
      <c r="U37" s="14" t="s">
        <v>53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45</v>
      </c>
      <c r="E38" s="4">
        <v>200.0</v>
      </c>
      <c r="F38" s="5">
        <v>54817.6</v>
      </c>
      <c r="G38" s="9">
        <v>0</v>
      </c>
      <c r="H38" s="9">
        <v>0</v>
      </c>
      <c r="I38" s="4">
        <v>200.0</v>
      </c>
      <c r="J38" s="5">
        <v>36874.8</v>
      </c>
      <c r="K38" s="4">
        <v>188.36363</v>
      </c>
      <c r="L38" s="5">
        <v>25558.684227</v>
      </c>
      <c r="M38" s="12">
        <v>-0.061776097646876</v>
      </c>
      <c r="N38" s="4">
        <v>81.0</v>
      </c>
      <c r="O38" s="4">
        <v>7.363636</v>
      </c>
      <c r="P38" s="4">
        <v>148.0</v>
      </c>
      <c r="Q38" s="4">
        <v>13.454545</v>
      </c>
      <c r="R38" s="4">
        <v>90.0</v>
      </c>
      <c r="S38" s="5">
        <v>12211.92</v>
      </c>
      <c r="T38" s="4">
        <v>12.333333</v>
      </c>
      <c r="U38" s="13">
        <v>7.2972974945216</v>
      </c>
      <c r="V38" s="5">
        <v>22462.21</v>
      </c>
      <c r="W38" s="5">
        <v>277.3112345679</v>
      </c>
      <c r="X38" s="5">
        <v>34530.23</v>
      </c>
      <c r="Y38" s="5">
        <v>426.29913580247</v>
      </c>
      <c r="Z38" s="5">
        <v>12068.02</v>
      </c>
      <c r="AA38" s="5">
        <v>148.98790123457</v>
      </c>
      <c r="AB38" s="11">
        <v>0.34949144561157</v>
      </c>
      <c r="AC38" s="4">
        <v>81.0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35045.433</v>
      </c>
      <c r="AK38" s="5">
        <v>236.79346621622</v>
      </c>
      <c r="AL38" s="5">
        <v>58075.693</v>
      </c>
      <c r="AM38" s="5">
        <v>392.40333108108</v>
      </c>
      <c r="AN38" s="5">
        <v>23030.26</v>
      </c>
      <c r="AO38" s="5">
        <v>155.60986486486</v>
      </c>
      <c r="AP38" s="11">
        <v>0.39655592228577</v>
      </c>
      <c r="AQ38" s="4">
        <v>148.0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52</v>
      </c>
      <c r="E39" s="4">
        <v>3.0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6">
        <v>0</v>
      </c>
      <c r="N39" s="9">
        <v>0</v>
      </c>
      <c r="O39" s="9">
        <v>0</v>
      </c>
      <c r="P39" s="9">
        <v>0</v>
      </c>
      <c r="Q39" s="9">
        <v>0</v>
      </c>
      <c r="R39" s="4">
        <v>3.0</v>
      </c>
      <c r="S39" s="9">
        <v>0</v>
      </c>
      <c r="T39" s="9">
        <v>0</v>
      </c>
      <c r="U39" s="14" t="s">
        <v>53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52</v>
      </c>
      <c r="E40" s="4">
        <v>3.0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16">
        <v>0</v>
      </c>
      <c r="N40" s="9">
        <v>0</v>
      </c>
      <c r="O40" s="9">
        <v>0</v>
      </c>
      <c r="P40" s="9">
        <v>0</v>
      </c>
      <c r="Q40" s="9">
        <v>0</v>
      </c>
      <c r="R40" s="4">
        <v>3.0</v>
      </c>
      <c r="S40" s="9">
        <v>0</v>
      </c>
      <c r="T40" s="9">
        <v>0</v>
      </c>
      <c r="U40" s="14" t="s">
        <v>53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3">
        <v>0</v>
      </c>
      <c r="AC40" s="9">
        <v>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52</v>
      </c>
      <c r="E41" s="4">
        <v>3.0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6">
        <v>0</v>
      </c>
      <c r="N41" s="9">
        <v>0</v>
      </c>
      <c r="O41" s="9">
        <v>0</v>
      </c>
      <c r="P41" s="9">
        <v>0</v>
      </c>
      <c r="Q41" s="9">
        <v>0</v>
      </c>
      <c r="R41" s="4">
        <v>3.0</v>
      </c>
      <c r="S41" s="9">
        <v>0</v>
      </c>
      <c r="T41" s="9">
        <v>0</v>
      </c>
      <c r="U41" s="14" t="s">
        <v>53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52</v>
      </c>
      <c r="E42" s="4">
        <v>20.0</v>
      </c>
      <c r="F42" s="5">
        <v>36562.02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6">
        <v>0</v>
      </c>
      <c r="N42" s="9">
        <v>0</v>
      </c>
      <c r="O42" s="9">
        <v>0</v>
      </c>
      <c r="P42" s="9">
        <v>0</v>
      </c>
      <c r="Q42" s="9">
        <v>0</v>
      </c>
      <c r="R42" s="4">
        <v>20.0</v>
      </c>
      <c r="S42" s="5">
        <v>36562.02</v>
      </c>
      <c r="T42" s="9">
        <v>0</v>
      </c>
      <c r="U42" s="14" t="s">
        <v>53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52</v>
      </c>
      <c r="E43" s="4">
        <v>10.0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6">
        <v>0</v>
      </c>
      <c r="N43" s="9">
        <v>0</v>
      </c>
      <c r="O43" s="9">
        <v>0</v>
      </c>
      <c r="P43" s="9">
        <v>0</v>
      </c>
      <c r="Q43" s="9">
        <v>0</v>
      </c>
      <c r="R43" s="4">
        <v>10.0</v>
      </c>
      <c r="S43" s="9">
        <v>0</v>
      </c>
      <c r="T43" s="9">
        <v>0</v>
      </c>
      <c r="U43" s="14" t="s">
        <v>53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52</v>
      </c>
      <c r="E44" s="4">
        <v>5.0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9">
        <v>0</v>
      </c>
      <c r="O44" s="9">
        <v>0</v>
      </c>
      <c r="P44" s="9">
        <v>0</v>
      </c>
      <c r="Q44" s="9">
        <v>0</v>
      </c>
      <c r="R44" s="4">
        <v>5.0</v>
      </c>
      <c r="S44" s="9">
        <v>0</v>
      </c>
      <c r="T44" s="9">
        <v>0</v>
      </c>
      <c r="U44" s="14" t="s">
        <v>53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52</v>
      </c>
      <c r="E45" s="4">
        <v>10.0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9.0</v>
      </c>
      <c r="S45" s="9">
        <v>0</v>
      </c>
      <c r="T45" s="9">
        <v>0</v>
      </c>
      <c r="U45" s="14" t="s">
        <v>53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52</v>
      </c>
      <c r="E46" s="4">
        <v>11.0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16">
        <v>0</v>
      </c>
      <c r="N46" s="9">
        <v>0</v>
      </c>
      <c r="O46" s="9">
        <v>0</v>
      </c>
      <c r="P46" s="9">
        <v>0</v>
      </c>
      <c r="Q46" s="9">
        <v>0</v>
      </c>
      <c r="R46" s="4">
        <v>10.0</v>
      </c>
      <c r="S46" s="9">
        <v>0</v>
      </c>
      <c r="T46" s="9">
        <v>0</v>
      </c>
      <c r="U46" s="14" t="s">
        <v>53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52</v>
      </c>
      <c r="E47" s="4">
        <v>10.0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1.0</v>
      </c>
      <c r="O47" s="4">
        <v>0.090909</v>
      </c>
      <c r="P47" s="9">
        <v>0</v>
      </c>
      <c r="Q47" s="9">
        <v>0</v>
      </c>
      <c r="R47" s="4">
        <v>7.0</v>
      </c>
      <c r="S47" s="9">
        <v>0</v>
      </c>
      <c r="T47" s="9">
        <v>0</v>
      </c>
      <c r="U47" s="14" t="s">
        <v>53</v>
      </c>
      <c r="V47" s="9">
        <v>0</v>
      </c>
      <c r="W47" s="5">
        <v>0.0</v>
      </c>
      <c r="X47" s="5">
        <v>588.785</v>
      </c>
      <c r="Y47" s="5">
        <v>588.785</v>
      </c>
      <c r="Z47" s="5">
        <v>588.785</v>
      </c>
      <c r="AA47" s="5">
        <v>588.785</v>
      </c>
      <c r="AB47" s="11">
        <v>1.0</v>
      </c>
      <c r="AC47" s="4">
        <v>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52</v>
      </c>
      <c r="E48" s="4">
        <v>10.0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4">
        <v>10.0</v>
      </c>
      <c r="S48" s="9">
        <v>0</v>
      </c>
      <c r="T48" s="9">
        <v>0</v>
      </c>
      <c r="U48" s="14" t="s">
        <v>53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52</v>
      </c>
      <c r="E49" s="4">
        <v>3.0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9">
        <v>0</v>
      </c>
      <c r="O49" s="9">
        <v>0</v>
      </c>
      <c r="P49" s="9">
        <v>0</v>
      </c>
      <c r="Q49" s="9">
        <v>0</v>
      </c>
      <c r="R49" s="4">
        <v>3.0</v>
      </c>
      <c r="S49" s="9">
        <v>0</v>
      </c>
      <c r="T49" s="9">
        <v>0</v>
      </c>
      <c r="U49" s="14" t="s">
        <v>53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52</v>
      </c>
      <c r="E50" s="4">
        <v>3.0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9">
        <v>0</v>
      </c>
      <c r="O50" s="9">
        <v>0</v>
      </c>
      <c r="P50" s="9">
        <v>0</v>
      </c>
      <c r="Q50" s="9">
        <v>0</v>
      </c>
      <c r="R50" s="4">
        <v>3.0</v>
      </c>
      <c r="S50" s="9">
        <v>0</v>
      </c>
      <c r="T50" s="9">
        <v>0</v>
      </c>
      <c r="U50" s="14" t="s">
        <v>53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52</v>
      </c>
      <c r="E51" s="4">
        <v>6.0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4">
        <v>6.0</v>
      </c>
      <c r="S51" s="9">
        <v>0</v>
      </c>
      <c r="T51" s="9">
        <v>0</v>
      </c>
      <c r="U51" s="14" t="s">
        <v>53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52</v>
      </c>
      <c r="E52" s="4">
        <v>6.0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6">
        <v>0</v>
      </c>
      <c r="N52" s="9">
        <v>0</v>
      </c>
      <c r="O52" s="9">
        <v>0</v>
      </c>
      <c r="P52" s="9">
        <v>0</v>
      </c>
      <c r="Q52" s="9">
        <v>0</v>
      </c>
      <c r="R52" s="4">
        <v>6.0</v>
      </c>
      <c r="S52" s="9">
        <v>0</v>
      </c>
      <c r="T52" s="9">
        <v>0</v>
      </c>
      <c r="U52" s="14" t="s">
        <v>53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52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4">
        <v>5.0</v>
      </c>
      <c r="S53" s="9">
        <v>0</v>
      </c>
      <c r="T53" s="9">
        <v>0</v>
      </c>
      <c r="U53" s="14" t="s">
        <v>53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52</v>
      </c>
      <c r="E54" s="4">
        <v>1.0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4">
        <v>1.0</v>
      </c>
      <c r="S54" s="9">
        <v>0</v>
      </c>
      <c r="T54" s="9">
        <v>0</v>
      </c>
      <c r="U54" s="14" t="s">
        <v>53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95</v>
      </c>
      <c r="E55" s="4">
        <v>10.0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6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4" t="s">
        <v>53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52</v>
      </c>
      <c r="E56" s="4">
        <v>5.0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6">
        <v>0</v>
      </c>
      <c r="N56" s="4">
        <v>2.0</v>
      </c>
      <c r="O56" s="4">
        <v>0.181818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4" t="s">
        <v>53</v>
      </c>
      <c r="V56" s="9">
        <v>0</v>
      </c>
      <c r="W56" s="5">
        <v>0.0</v>
      </c>
      <c r="X56" s="9">
        <v>0</v>
      </c>
      <c r="Y56" s="5">
        <v>0.0</v>
      </c>
      <c r="Z56" s="9">
        <v>0</v>
      </c>
      <c r="AA56" s="5">
        <v>0.0</v>
      </c>
      <c r="AB56" s="3">
        <v>0</v>
      </c>
      <c r="AC56" s="4">
        <v>2.0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160</v>
      </c>
      <c r="E57" s="4">
        <v>1.0</v>
      </c>
      <c r="F57" s="5">
        <v>3427.17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4" t="s">
        <v>53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1" t="s">
        <v>161</v>
      </c>
      <c r="B58" s="1"/>
      <c r="C58" s="1"/>
      <c r="D58" s="1"/>
      <c r="E58" s="1"/>
      <c r="F58" s="18">
        <f>SUM(F3:F58)</f>
        <v>22367089.428</v>
      </c>
      <c r="G58" s="1"/>
      <c r="H58" s="18">
        <f>SUM(H3:H58)</f>
        <v>12157619.304</v>
      </c>
      <c r="I58" s="1"/>
      <c r="J58" s="18">
        <f>SUM(J3:J58)</f>
        <v>8407487.298</v>
      </c>
      <c r="K58" s="1"/>
      <c r="L58" s="18">
        <f>SUM(L3:L58)</f>
        <v>17859645.436135</v>
      </c>
      <c r="M58" s="1"/>
      <c r="N58" s="1"/>
      <c r="O58" s="1"/>
      <c r="P58" s="1"/>
      <c r="Q58" s="1"/>
      <c r="R58" s="1"/>
      <c r="S58" s="18">
        <f>SUM(S3:S58)</f>
        <v>3186178.726</v>
      </c>
      <c r="T58" s="1"/>
      <c r="U58" s="1"/>
      <c r="V58" s="18">
        <f>SUM(V3:V58)</f>
        <v>13505118.506</v>
      </c>
      <c r="W58" s="1"/>
      <c r="X58" s="18">
        <f>SUM(X3:X58)</f>
        <v>18451344.834</v>
      </c>
      <c r="Y58" s="1"/>
      <c r="Z58" s="18">
        <f>SUM(Z3:Z58)</f>
        <v>4946226.328</v>
      </c>
      <c r="AA58" s="1"/>
      <c r="AB58" s="1"/>
      <c r="AC58" s="1"/>
      <c r="AD58" s="1"/>
      <c r="AE58" s="1"/>
      <c r="AF58" s="18">
        <f>SUM(AF3:AF58)</f>
        <v>19531.1</v>
      </c>
      <c r="AG58" s="1"/>
      <c r="AH58" s="1"/>
      <c r="AI58" s="18">
        <f>SUM(AI3:AI58)</f>
        <v>6246.25</v>
      </c>
      <c r="AJ58" s="18">
        <f>SUM(AJ3:V58)</f>
        <v>88198716.439127</v>
      </c>
      <c r="AK58" s="1"/>
      <c r="AL58" s="18">
        <f>SUM(AL3:AL58)</f>
        <v>20252517.017</v>
      </c>
      <c r="AM58" s="1"/>
      <c r="AN58" s="18">
        <f>SUM(AN3:AN58)</f>
        <v>6042554.042</v>
      </c>
      <c r="AO58" s="1"/>
      <c r="AP58" s="1"/>
      <c r="AQ58" s="1"/>
      <c r="AR58" s="1"/>
      <c r="AS58" s="1"/>
      <c r="AT58" s="18">
        <f>SUM(AT3:AT58)</f>
        <v>19531.1</v>
      </c>
      <c r="AU58" s="1"/>
      <c r="AV58" s="1"/>
      <c r="AW58" s="18">
        <f>SUM(AW3:AW58)</f>
        <v>6246.25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2"/>
  <sheetViews>
    <sheetView tabSelected="0" workbookViewId="0" showGridLines="true" showRowColHeaders="1">
      <pane ySplit="1" topLeftCell="A2" activePane="bottomLeft" state="frozen"/>
      <selection pane="bottomLeft" activeCell="I22" sqref="I2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</v>
      </c>
      <c r="G1" s="1" t="s">
        <v>2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171</v>
      </c>
      <c r="C2" s="3" t="s">
        <v>172</v>
      </c>
      <c r="D2" s="19">
        <v>44982.0</v>
      </c>
      <c r="E2" t="s">
        <v>173</v>
      </c>
      <c r="F2" s="3" t="s">
        <v>48</v>
      </c>
      <c r="G2" t="s">
        <v>49</v>
      </c>
      <c r="H2" s="3" t="s">
        <v>174</v>
      </c>
      <c r="I2" s="4">
        <v>1.0</v>
      </c>
      <c r="J2" t="s">
        <v>175</v>
      </c>
      <c r="K2" t="s">
        <v>176</v>
      </c>
      <c r="L2" t="s">
        <v>177</v>
      </c>
    </row>
    <row r="3" spans="1:36">
      <c r="A3" s="3">
        <v>2</v>
      </c>
      <c r="B3" t="s">
        <v>171</v>
      </c>
      <c r="C3" s="3" t="s">
        <v>178</v>
      </c>
      <c r="D3" s="19">
        <v>45132.0</v>
      </c>
      <c r="E3" t="s">
        <v>179</v>
      </c>
      <c r="F3" s="3" t="s">
        <v>48</v>
      </c>
      <c r="G3" t="s">
        <v>49</v>
      </c>
      <c r="H3" s="3" t="s">
        <v>174</v>
      </c>
      <c r="I3" s="4">
        <v>1.0</v>
      </c>
      <c r="J3" t="s">
        <v>175</v>
      </c>
      <c r="K3" t="s">
        <v>176</v>
      </c>
      <c r="L3" t="s">
        <v>180</v>
      </c>
    </row>
    <row r="4" spans="1:36">
      <c r="A4" s="3">
        <v>3</v>
      </c>
      <c r="B4" t="s">
        <v>171</v>
      </c>
      <c r="C4" s="3" t="s">
        <v>181</v>
      </c>
      <c r="D4" s="19">
        <v>44739.0</v>
      </c>
      <c r="E4" t="s">
        <v>182</v>
      </c>
      <c r="F4" s="3" t="s">
        <v>96</v>
      </c>
      <c r="G4" t="s">
        <v>97</v>
      </c>
      <c r="H4" s="3" t="s">
        <v>174</v>
      </c>
      <c r="I4" s="4">
        <v>2.0</v>
      </c>
      <c r="J4" t="s">
        <v>183</v>
      </c>
      <c r="K4" t="s">
        <v>184</v>
      </c>
      <c r="L4" t="s">
        <v>185</v>
      </c>
    </row>
    <row r="5" spans="1:36">
      <c r="A5" s="3">
        <v>4</v>
      </c>
      <c r="B5" t="s">
        <v>171</v>
      </c>
      <c r="C5" s="3" t="s">
        <v>186</v>
      </c>
      <c r="D5" s="19">
        <v>44739.0</v>
      </c>
      <c r="E5" t="s">
        <v>187</v>
      </c>
      <c r="F5" s="3" t="s">
        <v>96</v>
      </c>
      <c r="G5" t="s">
        <v>97</v>
      </c>
      <c r="H5" s="3" t="s">
        <v>174</v>
      </c>
      <c r="I5" s="4">
        <v>1.0</v>
      </c>
      <c r="J5" t="s">
        <v>183</v>
      </c>
      <c r="K5" t="s">
        <v>176</v>
      </c>
      <c r="L5" t="s">
        <v>188</v>
      </c>
    </row>
    <row r="6" spans="1:36">
      <c r="A6" s="3">
        <v>5</v>
      </c>
      <c r="B6" t="s">
        <v>189</v>
      </c>
      <c r="C6" s="3" t="s">
        <v>190</v>
      </c>
      <c r="D6" s="19">
        <v>44599.0</v>
      </c>
      <c r="E6" t="s">
        <v>191</v>
      </c>
      <c r="F6" s="3" t="s">
        <v>98</v>
      </c>
      <c r="G6" t="s">
        <v>99</v>
      </c>
      <c r="H6" s="3" t="s">
        <v>174</v>
      </c>
      <c r="I6" s="4">
        <v>1.0</v>
      </c>
      <c r="J6" t="s">
        <v>183</v>
      </c>
      <c r="K6" t="s">
        <v>176</v>
      </c>
      <c r="L6" t="s">
        <v>192</v>
      </c>
    </row>
    <row r="7" spans="1:36">
      <c r="A7" s="3">
        <v>6</v>
      </c>
      <c r="B7" t="s">
        <v>171</v>
      </c>
      <c r="C7" s="3" t="s">
        <v>193</v>
      </c>
      <c r="D7" s="19">
        <v>44739.0</v>
      </c>
      <c r="E7" t="s">
        <v>182</v>
      </c>
      <c r="F7" s="3" t="s">
        <v>103</v>
      </c>
      <c r="G7" t="s">
        <v>104</v>
      </c>
      <c r="H7" s="3" t="s">
        <v>174</v>
      </c>
      <c r="I7" s="4">
        <v>1.0</v>
      </c>
      <c r="J7" t="s">
        <v>183</v>
      </c>
      <c r="K7" t="s">
        <v>176</v>
      </c>
      <c r="L7" t="s">
        <v>194</v>
      </c>
    </row>
    <row r="8" spans="1:36">
      <c r="A8" s="3">
        <v>7</v>
      </c>
      <c r="B8" t="s">
        <v>171</v>
      </c>
      <c r="C8" s="3" t="s">
        <v>195</v>
      </c>
      <c r="D8" s="19">
        <v>44739.0</v>
      </c>
      <c r="E8" t="s">
        <v>173</v>
      </c>
      <c r="F8" s="3" t="s">
        <v>103</v>
      </c>
      <c r="G8" t="s">
        <v>104</v>
      </c>
      <c r="H8" s="3" t="s">
        <v>174</v>
      </c>
      <c r="I8" s="4">
        <v>1.0</v>
      </c>
      <c r="J8" t="s">
        <v>183</v>
      </c>
      <c r="K8" t="s">
        <v>184</v>
      </c>
      <c r="L8" t="s">
        <v>196</v>
      </c>
    </row>
    <row r="9" spans="1:36">
      <c r="A9" s="3">
        <v>8</v>
      </c>
      <c r="B9" t="s">
        <v>171</v>
      </c>
      <c r="C9" s="3" t="s">
        <v>197</v>
      </c>
      <c r="D9" s="19">
        <v>44781.0</v>
      </c>
      <c r="E9" t="s">
        <v>198</v>
      </c>
      <c r="F9" s="3" t="s">
        <v>103</v>
      </c>
      <c r="G9" t="s">
        <v>104</v>
      </c>
      <c r="H9" s="3" t="s">
        <v>174</v>
      </c>
      <c r="I9" s="4">
        <v>1.0</v>
      </c>
      <c r="J9" t="s">
        <v>183</v>
      </c>
      <c r="K9" t="s">
        <v>184</v>
      </c>
      <c r="L9" t="s">
        <v>199</v>
      </c>
    </row>
    <row r="10" spans="1:36">
      <c r="A10" s="3">
        <v>9</v>
      </c>
      <c r="B10" t="s">
        <v>171</v>
      </c>
      <c r="C10" s="3" t="s">
        <v>200</v>
      </c>
      <c r="D10" s="19">
        <v>45278.0</v>
      </c>
      <c r="E10" t="s">
        <v>201</v>
      </c>
      <c r="F10" s="3" t="s">
        <v>103</v>
      </c>
      <c r="G10" t="s">
        <v>104</v>
      </c>
      <c r="H10" s="3" t="s">
        <v>174</v>
      </c>
      <c r="I10" s="4">
        <v>1.0</v>
      </c>
      <c r="J10" t="s">
        <v>183</v>
      </c>
      <c r="K10" t="s">
        <v>176</v>
      </c>
      <c r="L10" t="s">
        <v>202</v>
      </c>
    </row>
    <row r="11" spans="1:36">
      <c r="A11" s="3">
        <v>10</v>
      </c>
      <c r="B11" t="s">
        <v>171</v>
      </c>
      <c r="C11" s="3" t="s">
        <v>203</v>
      </c>
      <c r="D11" s="19">
        <v>45244.0</v>
      </c>
      <c r="E11" t="s">
        <v>173</v>
      </c>
      <c r="F11" s="3" t="s">
        <v>50</v>
      </c>
      <c r="G11" t="s">
        <v>51</v>
      </c>
      <c r="H11" s="3" t="s">
        <v>174</v>
      </c>
      <c r="I11" s="4">
        <v>1.0</v>
      </c>
      <c r="J11" t="s">
        <v>183</v>
      </c>
      <c r="K11" t="s">
        <v>176</v>
      </c>
      <c r="L11" t="s">
        <v>204</v>
      </c>
    </row>
    <row r="12" spans="1:36">
      <c r="A12" s="3">
        <v>11</v>
      </c>
      <c r="B12" t="s">
        <v>189</v>
      </c>
      <c r="C12" s="3" t="s">
        <v>205</v>
      </c>
      <c r="D12" s="19">
        <v>44639.0</v>
      </c>
      <c r="E12" t="s">
        <v>206</v>
      </c>
      <c r="F12" s="3" t="s">
        <v>43</v>
      </c>
      <c r="G12" t="s">
        <v>44</v>
      </c>
      <c r="H12" s="3" t="s">
        <v>174</v>
      </c>
      <c r="I12" s="4">
        <v>1.0</v>
      </c>
      <c r="J12" t="s">
        <v>183</v>
      </c>
      <c r="K12" t="s">
        <v>184</v>
      </c>
      <c r="L12" t="s">
        <v>207</v>
      </c>
    </row>
    <row r="13" spans="1:36">
      <c r="A13" s="3">
        <v>12</v>
      </c>
      <c r="B13" t="s">
        <v>189</v>
      </c>
      <c r="C13" s="3" t="s">
        <v>208</v>
      </c>
      <c r="D13" s="19">
        <v>44639.0</v>
      </c>
      <c r="E13" t="s">
        <v>209</v>
      </c>
      <c r="F13" s="3" t="s">
        <v>43</v>
      </c>
      <c r="G13" t="s">
        <v>44</v>
      </c>
      <c r="H13" s="3" t="s">
        <v>174</v>
      </c>
      <c r="I13" s="4">
        <v>1.0</v>
      </c>
      <c r="J13" t="s">
        <v>183</v>
      </c>
      <c r="K13" t="s">
        <v>184</v>
      </c>
      <c r="L13" t="s">
        <v>210</v>
      </c>
    </row>
    <row r="14" spans="1:36">
      <c r="A14" s="3">
        <v>13</v>
      </c>
      <c r="B14" t="s">
        <v>171</v>
      </c>
      <c r="C14" s="3" t="s">
        <v>211</v>
      </c>
      <c r="D14" s="19">
        <v>44776.0</v>
      </c>
      <c r="E14" t="s">
        <v>212</v>
      </c>
      <c r="F14" s="3" t="s">
        <v>43</v>
      </c>
      <c r="G14" t="s">
        <v>44</v>
      </c>
      <c r="H14" s="3" t="s">
        <v>174</v>
      </c>
      <c r="I14" s="4">
        <v>1.0</v>
      </c>
      <c r="J14" t="s">
        <v>183</v>
      </c>
      <c r="K14" t="s">
        <v>176</v>
      </c>
      <c r="L14" t="s">
        <v>213</v>
      </c>
    </row>
    <row r="15" spans="1:36">
      <c r="A15" s="3">
        <v>14</v>
      </c>
      <c r="B15" t="s">
        <v>171</v>
      </c>
      <c r="C15" s="3" t="s">
        <v>214</v>
      </c>
      <c r="D15" s="19">
        <v>44980.0</v>
      </c>
      <c r="E15" t="s">
        <v>215</v>
      </c>
      <c r="F15" s="3" t="s">
        <v>43</v>
      </c>
      <c r="G15" t="s">
        <v>44</v>
      </c>
      <c r="H15" s="3" t="s">
        <v>174</v>
      </c>
      <c r="I15" s="4">
        <v>1.0</v>
      </c>
      <c r="J15" t="s">
        <v>183</v>
      </c>
      <c r="K15" t="s">
        <v>176</v>
      </c>
      <c r="L15" t="s">
        <v>216</v>
      </c>
    </row>
    <row r="16" spans="1:36">
      <c r="A16" s="3">
        <v>15</v>
      </c>
      <c r="B16" t="s">
        <v>217</v>
      </c>
      <c r="C16" s="3" t="s">
        <v>218</v>
      </c>
      <c r="D16" s="19">
        <v>45037.0</v>
      </c>
      <c r="E16" t="s">
        <v>219</v>
      </c>
      <c r="F16" s="3" t="s">
        <v>43</v>
      </c>
      <c r="G16" t="s">
        <v>44</v>
      </c>
      <c r="H16" s="3" t="s">
        <v>174</v>
      </c>
      <c r="I16" s="4">
        <v>1.0</v>
      </c>
      <c r="J16" t="s">
        <v>183</v>
      </c>
      <c r="K16" t="s">
        <v>184</v>
      </c>
      <c r="L16" t="s">
        <v>220</v>
      </c>
    </row>
    <row r="17" spans="1:36">
      <c r="A17" s="3">
        <v>16</v>
      </c>
      <c r="B17" t="s">
        <v>221</v>
      </c>
      <c r="C17" s="3" t="s">
        <v>222</v>
      </c>
      <c r="D17" s="19">
        <v>45113.0</v>
      </c>
      <c r="E17" t="s">
        <v>223</v>
      </c>
      <c r="F17" s="3" t="s">
        <v>43</v>
      </c>
      <c r="G17" t="s">
        <v>44</v>
      </c>
      <c r="H17" s="3" t="s">
        <v>174</v>
      </c>
      <c r="I17" s="4">
        <v>1.0</v>
      </c>
      <c r="J17" t="s">
        <v>175</v>
      </c>
      <c r="K17" t="s">
        <v>184</v>
      </c>
      <c r="L17" t="s">
        <v>224</v>
      </c>
    </row>
    <row r="18" spans="1:36">
      <c r="A18" s="3">
        <v>17</v>
      </c>
      <c r="B18" t="s">
        <v>171</v>
      </c>
      <c r="C18" s="3" t="s">
        <v>225</v>
      </c>
      <c r="D18" s="19">
        <v>45126.0</v>
      </c>
      <c r="E18" t="s">
        <v>226</v>
      </c>
      <c r="F18" s="3" t="s">
        <v>43</v>
      </c>
      <c r="G18" t="s">
        <v>44</v>
      </c>
      <c r="H18" s="3" t="s">
        <v>174</v>
      </c>
      <c r="I18" s="4">
        <v>1.0</v>
      </c>
      <c r="J18" t="s">
        <v>183</v>
      </c>
      <c r="K18" t="s">
        <v>176</v>
      </c>
      <c r="L18" t="s">
        <v>227</v>
      </c>
    </row>
    <row r="19" spans="1:36">
      <c r="A19" s="3">
        <v>18</v>
      </c>
      <c r="B19" t="s">
        <v>221</v>
      </c>
      <c r="C19" s="3" t="s">
        <v>228</v>
      </c>
      <c r="D19" s="19">
        <v>45142.0</v>
      </c>
      <c r="E19" t="s">
        <v>229</v>
      </c>
      <c r="F19" s="3" t="s">
        <v>43</v>
      </c>
      <c r="G19" t="s">
        <v>44</v>
      </c>
      <c r="H19" s="3" t="s">
        <v>174</v>
      </c>
      <c r="I19" s="4">
        <v>1.0</v>
      </c>
      <c r="J19" t="s">
        <v>175</v>
      </c>
      <c r="K19" t="s">
        <v>176</v>
      </c>
      <c r="L19" t="s">
        <v>230</v>
      </c>
    </row>
    <row r="20" spans="1:36">
      <c r="A20" s="3">
        <v>19</v>
      </c>
      <c r="B20" t="s">
        <v>171</v>
      </c>
      <c r="C20" s="3" t="s">
        <v>231</v>
      </c>
      <c r="D20" s="19">
        <v>45154.0</v>
      </c>
      <c r="E20" t="s">
        <v>232</v>
      </c>
      <c r="F20" s="3" t="s">
        <v>43</v>
      </c>
      <c r="G20" t="s">
        <v>44</v>
      </c>
      <c r="H20" s="3" t="s">
        <v>174</v>
      </c>
      <c r="I20" s="4">
        <v>1.0</v>
      </c>
      <c r="J20" t="s">
        <v>183</v>
      </c>
      <c r="K20" t="s">
        <v>176</v>
      </c>
      <c r="L20" t="s">
        <v>233</v>
      </c>
    </row>
    <row r="21" spans="1:36">
      <c r="A21" s="3">
        <v>20</v>
      </c>
      <c r="B21" t="s">
        <v>171</v>
      </c>
      <c r="C21" s="3" t="s">
        <v>203</v>
      </c>
      <c r="D21" s="19">
        <v>45244.0</v>
      </c>
      <c r="E21" t="s">
        <v>173</v>
      </c>
      <c r="F21" s="3" t="s">
        <v>43</v>
      </c>
      <c r="G21" t="s">
        <v>44</v>
      </c>
      <c r="H21" s="3" t="s">
        <v>174</v>
      </c>
      <c r="I21" s="4">
        <v>1.0</v>
      </c>
      <c r="J21" t="s">
        <v>175</v>
      </c>
      <c r="K21" t="s">
        <v>176</v>
      </c>
      <c r="L21" t="s">
        <v>234</v>
      </c>
    </row>
    <row r="22" spans="1:36">
      <c r="A22" s="3">
        <v>21</v>
      </c>
      <c r="B22" t="s">
        <v>217</v>
      </c>
      <c r="C22" s="3" t="s">
        <v>235</v>
      </c>
      <c r="D22" s="19">
        <v>44726.0</v>
      </c>
      <c r="E22" t="s">
        <v>236</v>
      </c>
      <c r="F22" s="3" t="s">
        <v>114</v>
      </c>
      <c r="G22" t="s">
        <v>115</v>
      </c>
      <c r="H22" s="3" t="s">
        <v>174</v>
      </c>
      <c r="I22" s="4">
        <v>1.0</v>
      </c>
      <c r="J22" t="s">
        <v>237</v>
      </c>
      <c r="K22" t="s">
        <v>176</v>
      </c>
      <c r="L22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2023-12-28T16:56:40+07:00</dcterms:created>
  <dcterms:modified xsi:type="dcterms:W3CDTF">2023-12-28T16:56:40+07:00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