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<sst xmlns="http://schemas.openxmlformats.org/spreadsheetml/2006/main" uniqueCount="238">
  <si>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</si>
  <si>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</si>
  <si>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</si>
  <si>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</si>
  <si>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</si>
  <si>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</si>
  <si>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</si>
  <si>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</si>
  <si>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</si>
  <si>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</si>
  <si>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</si>
  <si>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</si>
  <si>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</si>
  <si>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</si>
  <si>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</si>
  <si>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10/01/2024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</si>
  <si>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</si>
  <si>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</si>
  <si>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</si>
  <si>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</si>
  <si>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</si>
  <si>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</si>
  <si>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</si>
  <si>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</si>
  <si>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</si>
  <si>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</si>
  <si>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</si>
  <si>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</si>
  <si>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</si>
  <si>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</si>
  <si>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</si>
  <si>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</si>
  <si>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</si>
  <si>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</si>
  <si>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</si>
  <si>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</si>
  <si>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</si>
  <si>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</si>
  <si>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</si>
  <si>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</si>
  <si>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</si>
  <si>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</si>
  <si>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</si>
  <si>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38-004-111</t>
  </si>
  <si>
    <t>ตัดหญ้าไร้สาย 21V EUROX (พับได้) R</t>
  </si>
  <si>
    <t>M</t>
  </si>
  <si>
    <t>05-030-040</t>
  </si>
  <si>
    <t>สว่านกระแทกไร้สาย 12V. III EUROX ZX</t>
  </si>
  <si>
    <t>D24</t>
  </si>
  <si>
    <t>05-060-010</t>
  </si>
  <si>
    <t>บล็อคแบต 21V ไร้แปรงถ่าน 2B EUROX ZX</t>
  </si>
  <si>
    <t>38-003-001</t>
  </si>
  <si>
    <t>ปั๊มน้ำอัตโนมัติ 1 นิ้ว EUROX 370 A</t>
  </si>
  <si>
    <t>A</t>
  </si>
  <si>
    <t>38-004-110</t>
  </si>
  <si>
    <t>ตัดหญ้าไร้สาย 21V EUROX (พับได้)</t>
  </si>
  <si>
    <t>E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</si>
  <si>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</si>
  <si>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</si>
  <si>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</si>
  <si>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</si>
  <si>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38-006-001</t>
  </si>
  <si>
    <t>ปั๊มลมสายพาน EUROX 3HP 100L CP</t>
  </si>
  <si>
    <t>DEAD</t>
  </si>
  <si>
    <t>99-997-860</t>
  </si>
  <si>
    <t>ตลับเมตรขนาด 3 เมตร</t>
  </si>
  <si>
    <t>K</t>
  </si>
  <si>
    <t>99-992-050</t>
  </si>
  <si>
    <t>ชุดไขควงพกพา EUROX</t>
  </si>
  <si>
    <t>07-450-117</t>
  </si>
  <si>
    <t>แบตเตอรี่ตัดหญ้าพับได้ 21V.</t>
  </si>
  <si>
    <t>05-015-450</t>
  </si>
  <si>
    <t>ปั๊มลม OS 50 550W x 2</t>
  </si>
  <si>
    <t>99-992-051</t>
  </si>
  <si>
    <t>ชุดไขควงเปลี่ยนหัวได้</t>
  </si>
  <si>
    <t>38-902-048</t>
  </si>
  <si>
    <t>เจียร์ไร้สาย 21V(เอวตรง) แบตเตอรี่</t>
  </si>
  <si>
    <t>05-015-430</t>
  </si>
  <si>
    <t>ปั๊มลม OS 30 550W x 1</t>
  </si>
  <si>
    <t>07-450-118</t>
  </si>
  <si>
    <t>แบตเตอรี่เจียร์ไร้สาย 21V.(Slimbody)</t>
  </si>
  <si>
    <t>07-450-116</t>
  </si>
  <si>
    <t>แบตเตอรี่ตัดหญ้าไร้สาย 12V. EUROX II</t>
  </si>
  <si>
    <t>38-005-001</t>
  </si>
  <si>
    <t>เครื่องเจียร์ 4" MT954 Durabil</t>
  </si>
  <si>
    <t>P</t>
  </si>
  <si>
    <t>07-451-001</t>
  </si>
  <si>
    <t>แบตเตอรี่เครื่องฉีดน้ำ 12V.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</si>
  <si>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</si>
  <si>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</si>
  <si>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</si>
  <si>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</si>
  <si>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38-080-001</t>
  </si>
  <si>
    <t>หัวตัดเหล็กต่อสว่าน</t>
  </si>
  <si>
    <t>38-225-005</t>
  </si>
  <si>
    <t>หัวแปรงใยขัด</t>
  </si>
  <si>
    <t>38-225-004</t>
  </si>
  <si>
    <t>หัวแปรงฟองน้ำ</t>
  </si>
  <si>
    <t>38-225-008</t>
  </si>
  <si>
    <t>หัวจับกระดาษทรายตีนตุ๊กแก</t>
  </si>
  <si>
    <t>38-225-002</t>
  </si>
  <si>
    <t>หัวแปรงขัดถู</t>
  </si>
  <si>
    <t>38-225-003</t>
  </si>
  <si>
    <t>หัวแปรงฝอยสแตนเลส</t>
  </si>
  <si>
    <t>38-225-001</t>
  </si>
  <si>
    <t>กระดาษทรายกลม เบอร์ 100</t>
  </si>
  <si>
    <t>38-001-510</t>
  </si>
  <si>
    <t>ชุดของแถมเจียร์ไร้สาย EUROX 21V Black edition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</si>
  <si>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</si>
  <si>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</si>
  <si>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</si>
  <si>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</si>
  <si>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36-592-535</t>
  </si>
  <si>
    <t>กระดาษทราย 4" หลังสักหลาด</t>
  </si>
  <si>
    <t>38-001-001</t>
  </si>
  <si>
    <t>เจียร์ไร้สาย EUROX 21V (เอวตรง) กล่องชุด</t>
  </si>
  <si>
    <t>D22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</si>
  <si>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</si>
  <si>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</si>
  <si>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</si>
  <si>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</si>
  <si>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ZZ-000-016</t>
  </si>
  <si>
    <t>บล็อคไฟฟ้า 4 หุน KPB20C P1B-FF-20C DCK</t>
  </si>
  <si>
    <t>D21</t>
  </si>
  <si>
    <t>ZZ-000-338</t>
  </si>
  <si>
    <t>แม็กไฟฟ้า 2IN1 IMAX IMEN</t>
  </si>
  <si>
    <t>ZZ-000-382</t>
  </si>
  <si>
    <t>เครื่องดูดฝุ่น เปียก/แห้ง 1600W 30L IVC-1600 IMAX</t>
  </si>
  <si>
    <t>ZZ-000-399</t>
  </si>
  <si>
    <t>กรรไกรตัดกิ่งยืดสูงได้ OSUKA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</si>
  <si>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</si>
  <si>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</si>
  <si>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</si>
  <si>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</si>
  <si>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</si>
  <si>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</si>
  <si>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</si>
  <si>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</si>
  <si>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</si>
  <si>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</si>
  <si>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</si>
  <si>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PN-66034008</t>
  </si>
  <si>
    <t>M-00219 - ดูโฮม - เชียงใหม่ (สาขาที่8)</t>
  </si>
  <si>
    <t>WP4</t>
  </si>
  <si>
    <t>ตัว</t>
  </si>
  <si>
    <t>สินค้าชำรุดสภาพดี AX</t>
  </si>
  <si>
    <t>ไม่มีแท่นชาร์จ</t>
  </si>
  <si>
    <t>PE-66081030</t>
  </si>
  <si>
    <t>M-00283 - ดูโฮม - บางนาตราด (สาขาที่ 10)</t>
  </si>
  <si>
    <t>ชำรุดจากโรงงาน</t>
  </si>
  <si>
    <t>เฟืองรูด (imax)</t>
  </si>
  <si>
    <t>RN-66102125</t>
  </si>
  <si>
    <t>M-00507 - ดูโฮม-อยุธยา(สาขาที่00040)</t>
  </si>
  <si>
    <t>แบตเสื่อม</t>
  </si>
  <si>
    <t>PN-66124035</t>
  </si>
  <si>
    <t>M-00216 - ดูโฮม - บางบัวทอง (สาขาที่7)</t>
  </si>
  <si>
    <t>แบตเสื่อมชาร์จไม่เข้า 1 ก้อน</t>
  </si>
  <si>
    <t>RN-66112002</t>
  </si>
  <si>
    <t>M-00047 - โฮมฮับ-ขอนแก่น (สาขา 00003)</t>
  </si>
  <si>
    <t>ที่ชาร์จแบตเสียและแบตพัง</t>
  </si>
  <si>
    <t>ฝ่ายขายหน้าร้าน</t>
  </si>
  <si>
    <t>PE-66031011</t>
  </si>
  <si>
    <t>C-12155 - บริษัท จีเอ็มเอ็ม โอ ช้อปปิ้ง จำกัด</t>
  </si>
  <si>
    <t>อัน</t>
  </si>
  <si>
    <t>แบตเสื่อมสภาพ ชาร์จไฟไม่เข้าทั้ง 2 ก้อน</t>
  </si>
  <si>
    <t>ฝ่ายขายร้านค้า กทม.</t>
  </si>
  <si>
    <t>PE-66051016</t>
  </si>
  <si>
    <t>C-00894 - ไฟว์สตาร์แมชชีนทูล (มือปืน)</t>
  </si>
  <si>
    <t>PE-66061003</t>
  </si>
  <si>
    <t>ฝ่ายขายร้านค้า ตจว.</t>
  </si>
  <si>
    <t>PE-66081016</t>
  </si>
  <si>
    <t>C-12058 - โฮมพลัส สโตร์(SM PC)</t>
  </si>
  <si>
    <t>แบ็ตเสื่อมสภาพ(imax)</t>
  </si>
  <si>
    <t>PN-66114013</t>
  </si>
  <si>
    <t>M-00454 - ทีวี ไดเร็ค จำกัด</t>
  </si>
  <si>
    <t>แบตเสื่อมสภาพ</t>
  </si>
  <si>
    <t>PN-66124007</t>
  </si>
  <si>
    <t>M-00276 - ต.แสงชัยชุมแพ (1985) จำกัด</t>
  </si>
  <si>
    <t>PN-66124064</t>
  </si>
  <si>
    <t>PE-66051030</t>
  </si>
  <si>
    <t>C-09775 - ช.ไพศาล 2562</t>
  </si>
  <si>
    <t>RN-66022058</t>
  </si>
  <si>
    <t>set</t>
  </si>
  <si>
    <t>ชาร์จไฟไม่เข้า</t>
  </si>
  <si>
    <t>ฝ่ายขายโมเดิร์นเทรด 2</t>
  </si>
  <si>
    <t>PE-66071010</t>
  </si>
  <si>
    <t>M-00461 - ฮาร์ดแวร์เฮาส์ คอร์ปอเรชั่น  (สำนักงานใหญ่)</t>
  </si>
  <si>
    <t>ไม่มีที่ชาร์จแบต</t>
  </si>
  <si>
    <t>PE-66021002</t>
  </si>
  <si>
    <t>C-03817 - เจริญสุขโฮมพลัส(SM TT PC)</t>
  </si>
  <si>
    <t>แท่นชาร์จเสีย</t>
  </si>
  <si>
    <t>PE-66051002</t>
  </si>
  <si>
    <t>C-12326 - เครื่องมือคับ จำกัด</t>
  </si>
  <si>
    <t>แบตชาร์จไม่เข้าจริง</t>
  </si>
  <si>
    <t>RN-66092035</t>
  </si>
  <si>
    <t>C-03855 - เมธีกุล (แปดริ้ว)</t>
  </si>
  <si>
    <t>กดติดบ้างไม่ติดบ้างสวิตซ์เสีย</t>
  </si>
  <si>
    <t>PE-66111016</t>
  </si>
  <si>
    <t>C-06211 - พันหมื่นล้าน ฮาร์ดแวร์</t>
  </si>
  <si>
    <t>SET</t>
  </si>
  <si>
    <t>เครื่องไม่ทำงาน เปิดไม่ติด</t>
  </si>
  <si>
    <t>PE-66111026</t>
  </si>
  <si>
    <t>M-00261 - เอี่ยมเส็ง 2003(SM TT  PC)</t>
  </si>
  <si>
    <t>เครื่องไม่ทำงานในขณะแบตมีไฟทั้ง 2 ตัว</t>
  </si>
  <si>
    <t>PE-66121011</t>
  </si>
  <si>
    <t>C-00935 - วนาวัฒน์วัสดุ (SM TT PC)</t>
  </si>
  <si>
    <t>เครื่องไม่ทำงาน</t>
  </si>
  <si>
    <t>PE-66121014</t>
  </si>
  <si>
    <t>M-00246 - ไอดีโฮม 2015(SM TT PC)</t>
  </si>
  <si>
    <t>PE-67011004</t>
  </si>
  <si>
    <t>C-00509 - ล้ออาจิวคลังวัสดุก่อสร้าง จำกัด</t>
  </si>
  <si>
    <t>คัวช็อตไหม้</t>
  </si>
  <si>
    <t>RN-66082032</t>
  </si>
  <si>
    <t>C-12769 - หลังสวนแสงเพชร (SM PC)</t>
  </si>
  <si>
    <t>PCS</t>
  </si>
  <si>
    <t>ปั๊มไหม้</t>
  </si>
  <si>
    <t>PE-66081029</t>
  </si>
  <si>
    <t>หัวกระโหลกแตก/ยางรั่วจริง แก้ไขไม่ได้(imax)</t>
  </si>
  <si>
    <t>PE-66081038</t>
  </si>
  <si>
    <t>กดติดบ้างไม่ติดบ้าง-สวิทส์เสีย</t>
  </si>
  <si>
    <t>PN-67014006</t>
  </si>
  <si>
    <t>ล็อคบางไม่ล็อคบาง</t>
  </si>
  <si>
    <t>RN-66082076</t>
  </si>
  <si>
    <t>M-00359 - ดูโฮม - สุรินทร์</t>
  </si>
  <si>
    <t>Adapter เสีย, ตัวล็อคไม่ได้และแบตเสื่อมสภาพ</t>
  </si>
  <si>
    <t>PN-66104038</t>
  </si>
  <si>
    <t>PN-66114024</t>
  </si>
  <si>
    <t>ชาร์ทแบตไม่เข้า</t>
  </si>
  <si>
    <t>PN-66124030</t>
  </si>
  <si>
    <t>เปิดเครื่องไม่ติด</t>
  </si>
  <si>
    <t>PN-66124060</t>
  </si>
  <si>
    <t>RN-66022056</t>
  </si>
  <si>
    <t>C-00969 - สถาพรหนองไผ่ค้าไม้( SM TT PC)</t>
  </si>
  <si>
    <t>PE-66031037</t>
  </si>
  <si>
    <t>ชาร์จไม่เข้า</t>
  </si>
  <si>
    <t>RN-66062024</t>
  </si>
  <si>
    <t>K-00070 - ส.เกษตรยนต์</t>
  </si>
  <si>
    <t>แบตเตอรี่เสื่อมสภาพ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</si>
</sst>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2" sqref="AW4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425000.5</v>
      </c>
      <c r="G3" s="4">
        <v>2016.0</v>
      </c>
      <c r="H3" s="5">
        <v>1713602.016</v>
      </c>
      <c r="I3" s="6">
        <v>0</v>
      </c>
      <c r="J3" s="6">
        <v>0</v>
      </c>
      <c r="K3" s="4">
        <v>1984.181808</v>
      </c>
      <c r="L3" s="5">
        <v>1686556.520982</v>
      </c>
      <c r="M3" s="7">
        <v>-0.016035925675617</v>
      </c>
      <c r="N3" s="4">
        <v>1579.0</v>
      </c>
      <c r="O3" s="4">
        <v>141.727272</v>
      </c>
      <c r="P3" s="6">
        <v>0</v>
      </c>
      <c r="Q3" s="6">
        <v>0</v>
      </c>
      <c r="R3" s="4">
        <v>438.0</v>
      </c>
      <c r="S3" s="5">
        <v>372300.438</v>
      </c>
      <c r="T3" s="4">
        <v>253.833333</v>
      </c>
      <c r="U3" s="8">
        <v>1.7255416962909</v>
      </c>
      <c r="V3" s="5">
        <v>1257568.622</v>
      </c>
      <c r="W3" s="5">
        <v>796.43357948068</v>
      </c>
      <c r="X3" s="5">
        <v>1848516.797</v>
      </c>
      <c r="Y3" s="5">
        <v>1170.6882818239</v>
      </c>
      <c r="Z3" s="5">
        <v>590948.175</v>
      </c>
      <c r="AA3" s="5">
        <v>374.25470234326</v>
      </c>
      <c r="AB3" s="9">
        <v>0.31968774963747</v>
      </c>
      <c r="AC3" s="4">
        <v>1579.0</v>
      </c>
      <c r="AD3" s="4">
        <v>4.0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2499.0</v>
      </c>
      <c r="H4" s="5">
        <v>1669340.06</v>
      </c>
      <c r="I4" s="6">
        <v>0</v>
      </c>
      <c r="J4" s="6">
        <v>0</v>
      </c>
      <c r="K4" s="4">
        <v>2783.454534</v>
      </c>
      <c r="L4" s="5">
        <v>1837079.99244</v>
      </c>
      <c r="M4" s="10">
        <v>0.1021947836853</v>
      </c>
      <c r="N4" s="4">
        <v>2187.0</v>
      </c>
      <c r="O4" s="4">
        <v>198.818181</v>
      </c>
      <c r="P4" s="4">
        <v>237.0</v>
      </c>
      <c r="Q4" s="6">
        <v>0</v>
      </c>
      <c r="R4" s="4">
        <v>14.0</v>
      </c>
      <c r="S4" s="5">
        <v>9240.0</v>
      </c>
      <c r="T4" s="4">
        <v>404.0</v>
      </c>
      <c r="U4" s="8">
        <v>0.034653465346535</v>
      </c>
      <c r="V4" s="5">
        <v>1367663.757</v>
      </c>
      <c r="W4" s="5">
        <v>625.36065706447</v>
      </c>
      <c r="X4" s="5">
        <v>3068334.713</v>
      </c>
      <c r="Y4" s="5">
        <v>1402.9879803384</v>
      </c>
      <c r="Z4" s="5">
        <v>1700670.956</v>
      </c>
      <c r="AA4" s="5">
        <v>777.62732327389</v>
      </c>
      <c r="AB4" s="9">
        <v>0.55426513567589</v>
      </c>
      <c r="AC4" s="4">
        <v>2187.0</v>
      </c>
      <c r="AD4" s="4">
        <v>9.0</v>
      </c>
      <c r="AE4" s="6">
        <v>0</v>
      </c>
      <c r="AF4" s="6">
        <v>0</v>
      </c>
      <c r="AG4" s="3">
        <v>0</v>
      </c>
      <c r="AH4" s="4">
        <v>1.0</v>
      </c>
      <c r="AI4" s="5">
        <v>660.0</v>
      </c>
      <c r="AJ4" s="5">
        <v>146186.964</v>
      </c>
      <c r="AK4" s="5">
        <v>616.82263291139</v>
      </c>
      <c r="AL4" s="5">
        <v>339220.0</v>
      </c>
      <c r="AM4" s="5">
        <v>1431.3080168776</v>
      </c>
      <c r="AN4" s="5">
        <v>193033.036</v>
      </c>
      <c r="AO4" s="5">
        <v>814.48538396624</v>
      </c>
      <c r="AP4" s="9">
        <v>0.56904969046636</v>
      </c>
      <c r="AQ4" s="4">
        <v>237.0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660.0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1000.0</v>
      </c>
      <c r="H5" s="5">
        <v>1650000.0</v>
      </c>
      <c r="I5" s="6">
        <v>0</v>
      </c>
      <c r="J5" s="6">
        <v>0</v>
      </c>
      <c r="K5" s="4">
        <v>1081.818178</v>
      </c>
      <c r="L5" s="5">
        <v>1784999.9937</v>
      </c>
      <c r="M5" s="10">
        <v>0.075630248838359</v>
      </c>
      <c r="N5" s="4">
        <v>850.0</v>
      </c>
      <c r="O5" s="4">
        <v>77.272727</v>
      </c>
      <c r="P5" s="4">
        <v>3.0</v>
      </c>
      <c r="Q5" s="6">
        <v>0</v>
      </c>
      <c r="R5" s="4">
        <v>18.0</v>
      </c>
      <c r="S5" s="5">
        <v>29700.0</v>
      </c>
      <c r="T5" s="4">
        <v>142.166666</v>
      </c>
      <c r="U5" s="8">
        <v>0.12661195838974</v>
      </c>
      <c r="V5" s="5">
        <v>1310747.687</v>
      </c>
      <c r="W5" s="5">
        <v>1542.0561023529</v>
      </c>
      <c r="X5" s="5">
        <v>2018914.007</v>
      </c>
      <c r="Y5" s="5">
        <v>2375.1929494118</v>
      </c>
      <c r="Z5" s="5">
        <v>708166.32</v>
      </c>
      <c r="AA5" s="5">
        <v>833.13684705882</v>
      </c>
      <c r="AB5" s="9">
        <v>0.35076596504093</v>
      </c>
      <c r="AC5" s="4">
        <v>850.0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4626.171</v>
      </c>
      <c r="AK5" s="5">
        <v>1542.057</v>
      </c>
      <c r="AL5" s="5">
        <v>6706.53</v>
      </c>
      <c r="AM5" s="5">
        <v>2235.51</v>
      </c>
      <c r="AN5" s="5">
        <v>2080.359</v>
      </c>
      <c r="AO5" s="5">
        <v>693.453</v>
      </c>
      <c r="AP5" s="9">
        <v>0.31019901498987</v>
      </c>
      <c r="AQ5" s="4">
        <v>3.0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492.0</v>
      </c>
      <c r="F6" s="5">
        <v>541200.0</v>
      </c>
      <c r="G6" s="4">
        <v>1000.0</v>
      </c>
      <c r="H6" s="5">
        <v>1100000.0</v>
      </c>
      <c r="I6" s="6">
        <v>0</v>
      </c>
      <c r="J6" s="6">
        <v>0</v>
      </c>
      <c r="K6" s="4">
        <v>659.272726</v>
      </c>
      <c r="L6" s="5">
        <v>725199.9986</v>
      </c>
      <c r="M6" s="7">
        <v>-0.5168229483226</v>
      </c>
      <c r="N6" s="4">
        <v>518.0</v>
      </c>
      <c r="O6" s="4">
        <v>47.090909</v>
      </c>
      <c r="P6" s="4">
        <v>17.0</v>
      </c>
      <c r="Q6" s="6">
        <v>0</v>
      </c>
      <c r="R6" s="4">
        <v>461.0</v>
      </c>
      <c r="S6" s="5">
        <v>507100.0</v>
      </c>
      <c r="T6" s="4">
        <v>89.166666</v>
      </c>
      <c r="U6" s="11">
        <v>5.1700934965988</v>
      </c>
      <c r="V6" s="5">
        <v>532523.396</v>
      </c>
      <c r="W6" s="5">
        <v>1028.0374440154</v>
      </c>
      <c r="X6" s="5">
        <v>687823.913</v>
      </c>
      <c r="Y6" s="5">
        <v>1327.8453918919</v>
      </c>
      <c r="Z6" s="5">
        <v>155300.517</v>
      </c>
      <c r="AA6" s="5">
        <v>299.80794787645</v>
      </c>
      <c r="AB6" s="12">
        <v>0.22578528321681</v>
      </c>
      <c r="AC6" s="4">
        <v>518.0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17476.632</v>
      </c>
      <c r="AK6" s="5">
        <v>1028.0371764706</v>
      </c>
      <c r="AL6" s="5">
        <v>22514.0</v>
      </c>
      <c r="AM6" s="5">
        <v>1324.3529411765</v>
      </c>
      <c r="AN6" s="5">
        <v>5037.368</v>
      </c>
      <c r="AO6" s="5">
        <v>296.31576470588</v>
      </c>
      <c r="AP6" s="12">
        <v>0.22374380385538</v>
      </c>
      <c r="AQ6" s="4">
        <v>17.0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4">
        <v>870.0</v>
      </c>
      <c r="F7" s="5">
        <v>768000.37</v>
      </c>
      <c r="G7" s="4">
        <v>1012.0</v>
      </c>
      <c r="H7" s="5">
        <v>870200.512</v>
      </c>
      <c r="I7" s="6">
        <v>0</v>
      </c>
      <c r="J7" s="6">
        <v>0</v>
      </c>
      <c r="K7" s="4">
        <v>157.818178</v>
      </c>
      <c r="L7" s="5">
        <v>134145.609118</v>
      </c>
      <c r="M7" s="7">
        <v>-5.4124425514531</v>
      </c>
      <c r="N7" s="4">
        <v>107.0</v>
      </c>
      <c r="O7" s="4">
        <v>11.272727</v>
      </c>
      <c r="P7" s="6">
        <v>0</v>
      </c>
      <c r="Q7" s="6">
        <v>0</v>
      </c>
      <c r="R7" s="4">
        <v>502.0</v>
      </c>
      <c r="S7" s="5">
        <v>426700.502</v>
      </c>
      <c r="T7" s="4">
        <v>17.333333</v>
      </c>
      <c r="U7" s="13">
        <v>28.961539018491</v>
      </c>
      <c r="V7" s="5">
        <v>87206.817</v>
      </c>
      <c r="W7" s="5">
        <v>815.01698130841</v>
      </c>
      <c r="X7" s="5">
        <v>126167.386</v>
      </c>
      <c r="Y7" s="5">
        <v>1179.1344485981</v>
      </c>
      <c r="Z7" s="5">
        <v>38960.569</v>
      </c>
      <c r="AA7" s="5">
        <v>364.11746728972</v>
      </c>
      <c r="AB7" s="9">
        <v>0.30880063568885</v>
      </c>
      <c r="AC7" s="4">
        <v>107.0</v>
      </c>
      <c r="AD7" s="4">
        <v>1.0</v>
      </c>
      <c r="AE7" s="6">
        <v>0</v>
      </c>
      <c r="AF7" s="6">
        <v>0</v>
      </c>
      <c r="AG7" s="3">
        <v>0</v>
      </c>
      <c r="AH7" s="4">
        <v>1.0</v>
      </c>
      <c r="AI7" s="5">
        <v>850.001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850.001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1000.0</v>
      </c>
      <c r="F8" s="5">
        <v>1250000.0</v>
      </c>
      <c r="G8" s="4">
        <v>500.0</v>
      </c>
      <c r="H8" s="5">
        <v>625000.0</v>
      </c>
      <c r="I8" s="6">
        <v>0</v>
      </c>
      <c r="J8" s="6">
        <v>0</v>
      </c>
      <c r="K8" s="4">
        <v>674.545452</v>
      </c>
      <c r="L8" s="5">
        <v>843181.815</v>
      </c>
      <c r="M8" s="10">
        <v>0.25876010501958</v>
      </c>
      <c r="N8" s="4">
        <v>531.0</v>
      </c>
      <c r="O8" s="4">
        <v>48.181818</v>
      </c>
      <c r="P8" s="4">
        <v>17.0</v>
      </c>
      <c r="Q8" s="6">
        <v>0</v>
      </c>
      <c r="R8" s="4">
        <v>196.0</v>
      </c>
      <c r="S8" s="5">
        <v>245000.0</v>
      </c>
      <c r="T8" s="4">
        <v>89.333333</v>
      </c>
      <c r="U8" s="8">
        <v>2.1940298589329</v>
      </c>
      <c r="V8" s="5">
        <v>620327.091</v>
      </c>
      <c r="W8" s="5">
        <v>1168.2242768362</v>
      </c>
      <c r="X8" s="5">
        <v>962712.14</v>
      </c>
      <c r="Y8" s="5">
        <v>1813.017212806</v>
      </c>
      <c r="Z8" s="5">
        <v>342385.049</v>
      </c>
      <c r="AA8" s="5">
        <v>644.79293596987</v>
      </c>
      <c r="AB8" s="9">
        <v>0.35564633993293</v>
      </c>
      <c r="AC8" s="4">
        <v>531.0</v>
      </c>
      <c r="AD8" s="4">
        <v>8.0</v>
      </c>
      <c r="AE8" s="6">
        <v>0</v>
      </c>
      <c r="AF8" s="6">
        <v>0</v>
      </c>
      <c r="AG8" s="3">
        <v>0</v>
      </c>
      <c r="AH8" s="4">
        <v>5.0</v>
      </c>
      <c r="AI8" s="5">
        <v>6250.0</v>
      </c>
      <c r="AJ8" s="5">
        <v>19859.807</v>
      </c>
      <c r="AK8" s="5">
        <v>1168.2239411765</v>
      </c>
      <c r="AL8" s="5">
        <v>31050.081</v>
      </c>
      <c r="AM8" s="5">
        <v>1826.4753529412</v>
      </c>
      <c r="AN8" s="5">
        <v>11190.274</v>
      </c>
      <c r="AO8" s="5">
        <v>658.25141176471</v>
      </c>
      <c r="AP8" s="9">
        <v>0.36039435774741</v>
      </c>
      <c r="AQ8" s="4">
        <v>17.0</v>
      </c>
      <c r="AR8" s="4">
        <v>1.0</v>
      </c>
      <c r="AS8" s="6">
        <v>0</v>
      </c>
      <c r="AT8" s="6">
        <v>0</v>
      </c>
      <c r="AU8" s="3">
        <v>0</v>
      </c>
      <c r="AV8" s="4">
        <v>5.0</v>
      </c>
      <c r="AW8" s="5">
        <v>6250.0</v>
      </c>
    </row>
    <row r="9" spans="1:49">
      <c r="A9" s="3">
        <v>7</v>
      </c>
      <c r="B9" s="3" t="s">
        <v>59</v>
      </c>
      <c r="C9" t="s">
        <v>60</v>
      </c>
      <c r="D9" s="3" t="s">
        <v>56</v>
      </c>
      <c r="E9" s="6">
        <v>0</v>
      </c>
      <c r="F9" s="6">
        <v>0</v>
      </c>
      <c r="G9" s="4">
        <v>1000.0</v>
      </c>
      <c r="H9" s="5">
        <v>390000.0</v>
      </c>
      <c r="I9" s="6">
        <v>0</v>
      </c>
      <c r="J9" s="6">
        <v>0</v>
      </c>
      <c r="K9" s="4">
        <v>632.545452</v>
      </c>
      <c r="L9" s="5">
        <v>246692.72628</v>
      </c>
      <c r="M9" s="7">
        <v>-0.58091406212498</v>
      </c>
      <c r="N9" s="4">
        <v>497.0</v>
      </c>
      <c r="O9" s="4">
        <v>45.181818</v>
      </c>
      <c r="P9" s="4">
        <v>100.0</v>
      </c>
      <c r="Q9" s="6">
        <v>0</v>
      </c>
      <c r="R9" s="4">
        <v>393.0</v>
      </c>
      <c r="S9" s="5">
        <v>153270.0</v>
      </c>
      <c r="T9" s="4">
        <v>99.5</v>
      </c>
      <c r="U9" s="8">
        <v>3.9497487437186</v>
      </c>
      <c r="V9" s="5">
        <v>181149.572</v>
      </c>
      <c r="W9" s="5">
        <v>364.48606036217</v>
      </c>
      <c r="X9" s="5">
        <v>268875.858</v>
      </c>
      <c r="Y9" s="5">
        <v>540.99770221328</v>
      </c>
      <c r="Z9" s="5">
        <v>87726.286</v>
      </c>
      <c r="AA9" s="5">
        <v>176.51164185111</v>
      </c>
      <c r="AB9" s="9">
        <v>0.32627059436478</v>
      </c>
      <c r="AC9" s="4">
        <v>497.0</v>
      </c>
      <c r="AD9" s="4">
        <v>3.0</v>
      </c>
      <c r="AE9" s="6">
        <v>0</v>
      </c>
      <c r="AF9" s="6">
        <v>0</v>
      </c>
      <c r="AG9" s="3">
        <v>0</v>
      </c>
      <c r="AH9" s="4">
        <v>3.0</v>
      </c>
      <c r="AI9" s="5">
        <v>1170.0</v>
      </c>
      <c r="AJ9" s="5">
        <v>36448.6</v>
      </c>
      <c r="AK9" s="5">
        <v>364.486</v>
      </c>
      <c r="AL9" s="5">
        <v>53664.0</v>
      </c>
      <c r="AM9" s="5">
        <v>536.64</v>
      </c>
      <c r="AN9" s="5">
        <v>17215.4</v>
      </c>
      <c r="AO9" s="5">
        <v>172.154</v>
      </c>
      <c r="AP9" s="9">
        <v>0.32079979129398</v>
      </c>
      <c r="AQ9" s="4">
        <v>100.0</v>
      </c>
      <c r="AR9" s="6">
        <v>0</v>
      </c>
      <c r="AS9" s="6">
        <v>0</v>
      </c>
      <c r="AT9" s="6">
        <v>0</v>
      </c>
      <c r="AU9" s="3">
        <v>0</v>
      </c>
      <c r="AV9" s="4">
        <v>3.0</v>
      </c>
      <c r="AW9" s="5">
        <v>1170.0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6">
        <v>0</v>
      </c>
      <c r="F10" s="6">
        <v>0</v>
      </c>
      <c r="G10" s="4">
        <v>30.0</v>
      </c>
      <c r="H10" s="5">
        <v>204000.0</v>
      </c>
      <c r="I10" s="6">
        <v>0</v>
      </c>
      <c r="J10" s="6">
        <v>0</v>
      </c>
      <c r="K10" s="4">
        <v>36.909082</v>
      </c>
      <c r="L10" s="5">
        <v>250981.7576</v>
      </c>
      <c r="M10" s="10">
        <v>0.18719192203155</v>
      </c>
      <c r="N10" s="4">
        <v>29.0</v>
      </c>
      <c r="O10" s="4">
        <v>2.636363</v>
      </c>
      <c r="P10" s="6">
        <v>0</v>
      </c>
      <c r="Q10" s="6">
        <v>0</v>
      </c>
      <c r="R10" s="6">
        <v>0</v>
      </c>
      <c r="S10" s="6">
        <v>0</v>
      </c>
      <c r="T10" s="4">
        <v>4.833333</v>
      </c>
      <c r="U10" s="14" t="s">
        <v>63</v>
      </c>
      <c r="V10" s="5">
        <v>184299.07</v>
      </c>
      <c r="W10" s="5">
        <v>6355.1403448276</v>
      </c>
      <c r="X10" s="5">
        <v>279124.998</v>
      </c>
      <c r="Y10" s="5">
        <v>9624.9999310345</v>
      </c>
      <c r="Z10" s="5">
        <v>94825.928</v>
      </c>
      <c r="AA10" s="5">
        <v>3269.8595862069</v>
      </c>
      <c r="AB10" s="9">
        <v>0.33972567372844</v>
      </c>
      <c r="AC10" s="4">
        <v>29.0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66</v>
      </c>
      <c r="E11" s="6">
        <v>0</v>
      </c>
      <c r="F11" s="6">
        <v>0</v>
      </c>
      <c r="G11" s="4">
        <v>4700.0</v>
      </c>
      <c r="H11" s="5">
        <v>98700.0</v>
      </c>
      <c r="I11" s="6">
        <v>0</v>
      </c>
      <c r="J11" s="6">
        <v>0</v>
      </c>
      <c r="K11" s="4">
        <v>193.454534</v>
      </c>
      <c r="L11" s="5">
        <v>4062.545214</v>
      </c>
      <c r="M11" s="7">
        <v>-23.295114220481</v>
      </c>
      <c r="N11" s="4">
        <v>152.0</v>
      </c>
      <c r="O11" s="4">
        <v>13.818181</v>
      </c>
      <c r="P11" s="6">
        <v>0</v>
      </c>
      <c r="Q11" s="6">
        <v>0</v>
      </c>
      <c r="R11" s="6">
        <v>0</v>
      </c>
      <c r="S11" s="6">
        <v>0</v>
      </c>
      <c r="T11" s="4">
        <v>25.333333</v>
      </c>
      <c r="U11" s="14" t="s">
        <v>63</v>
      </c>
      <c r="V11" s="5">
        <v>2983.152</v>
      </c>
      <c r="W11" s="5">
        <v>19.626</v>
      </c>
      <c r="X11" s="5">
        <v>364.49</v>
      </c>
      <c r="Y11" s="5">
        <v>2.3979605263158</v>
      </c>
      <c r="Z11" s="5">
        <v>-2618.662</v>
      </c>
      <c r="AA11" s="5">
        <v>-17.228039473684</v>
      </c>
      <c r="AB11" s="15">
        <v>-7.1844549919065</v>
      </c>
      <c r="AC11" s="4">
        <v>152.0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67</v>
      </c>
      <c r="C12" t="s">
        <v>68</v>
      </c>
      <c r="D12" s="3" t="s">
        <v>66</v>
      </c>
      <c r="E12" s="4">
        <v>996.0</v>
      </c>
      <c r="F12" s="5">
        <v>46812.0</v>
      </c>
      <c r="G12" s="4">
        <v>1600.0</v>
      </c>
      <c r="H12" s="5">
        <v>75200.0</v>
      </c>
      <c r="I12" s="6">
        <v>0</v>
      </c>
      <c r="J12" s="6">
        <v>0</v>
      </c>
      <c r="K12" s="4">
        <v>17.818178</v>
      </c>
      <c r="L12" s="5">
        <v>837.454366</v>
      </c>
      <c r="M12" s="7">
        <v>-88.795937609334</v>
      </c>
      <c r="N12" s="4">
        <v>14.0</v>
      </c>
      <c r="O12" s="4">
        <v>1.272727</v>
      </c>
      <c r="P12" s="4">
        <v>-20.0</v>
      </c>
      <c r="Q12" s="6">
        <v>0</v>
      </c>
      <c r="R12" s="6">
        <v>0</v>
      </c>
      <c r="S12" s="6">
        <v>0</v>
      </c>
      <c r="T12" s="4">
        <v>-1.0</v>
      </c>
      <c r="U12" s="14" t="s">
        <v>63</v>
      </c>
      <c r="V12" s="5">
        <v>614.97</v>
      </c>
      <c r="W12" s="5">
        <v>43.926428571429</v>
      </c>
      <c r="X12" s="6">
        <v>0</v>
      </c>
      <c r="Y12" s="5">
        <v>0.0</v>
      </c>
      <c r="Z12" s="5">
        <v>-614.97</v>
      </c>
      <c r="AA12" s="5">
        <v>-43.926428571429</v>
      </c>
      <c r="AB12" s="16">
        <v>0</v>
      </c>
      <c r="AC12" s="4">
        <v>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-878.52</v>
      </c>
      <c r="AK12" s="6">
        <v>0</v>
      </c>
      <c r="AL12" s="5">
        <v>-925.2</v>
      </c>
      <c r="AM12" s="6">
        <v>0</v>
      </c>
      <c r="AN12" s="5">
        <v>-46.68</v>
      </c>
      <c r="AO12" s="6">
        <v>0</v>
      </c>
      <c r="AP12" s="16">
        <v>0</v>
      </c>
      <c r="AQ12" s="4">
        <v>-20.0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69</v>
      </c>
      <c r="C13" t="s">
        <v>70</v>
      </c>
      <c r="D13" s="3" t="s">
        <v>45</v>
      </c>
      <c r="E13" s="4">
        <v>18.0</v>
      </c>
      <c r="F13" s="5">
        <v>5400.0</v>
      </c>
      <c r="G13" s="4">
        <v>175.0</v>
      </c>
      <c r="H13" s="5">
        <v>52500.0</v>
      </c>
      <c r="I13" s="6">
        <v>0</v>
      </c>
      <c r="J13" s="6">
        <v>0</v>
      </c>
      <c r="K13" s="4">
        <v>120.909082</v>
      </c>
      <c r="L13" s="5">
        <v>36272.7246</v>
      </c>
      <c r="M13" s="7">
        <v>-0.44736852770084</v>
      </c>
      <c r="N13" s="4">
        <v>95.0</v>
      </c>
      <c r="O13" s="4">
        <v>8.636363</v>
      </c>
      <c r="P13" s="4">
        <v>1.0</v>
      </c>
      <c r="Q13" s="6">
        <v>0</v>
      </c>
      <c r="R13" s="4">
        <v>76.0</v>
      </c>
      <c r="S13" s="5">
        <v>22800.0</v>
      </c>
      <c r="T13" s="4">
        <v>16.0</v>
      </c>
      <c r="U13" s="11">
        <v>4.75</v>
      </c>
      <c r="V13" s="5">
        <v>26635.496</v>
      </c>
      <c r="W13" s="5">
        <v>280.37364210526</v>
      </c>
      <c r="X13" s="5">
        <v>42089.682</v>
      </c>
      <c r="Y13" s="5">
        <v>443.04928421053</v>
      </c>
      <c r="Z13" s="5">
        <v>15454.186</v>
      </c>
      <c r="AA13" s="5">
        <v>162.67564210526</v>
      </c>
      <c r="AB13" s="9">
        <v>0.36717279070913</v>
      </c>
      <c r="AC13" s="4">
        <v>95.0</v>
      </c>
      <c r="AD13" s="4">
        <v>8.0</v>
      </c>
      <c r="AE13" s="6">
        <v>0</v>
      </c>
      <c r="AF13" s="6">
        <v>0</v>
      </c>
      <c r="AG13" s="3">
        <v>0</v>
      </c>
      <c r="AH13" s="4">
        <v>3.0</v>
      </c>
      <c r="AI13" s="5">
        <v>900.0</v>
      </c>
      <c r="AJ13" s="5">
        <v>280.38</v>
      </c>
      <c r="AK13" s="5">
        <v>280.38</v>
      </c>
      <c r="AL13" s="5">
        <v>373.832</v>
      </c>
      <c r="AM13" s="5">
        <v>373.832</v>
      </c>
      <c r="AN13" s="5">
        <v>93.452</v>
      </c>
      <c r="AO13" s="5">
        <v>93.452</v>
      </c>
      <c r="AP13" s="17">
        <v>0.24998395000963</v>
      </c>
      <c r="AQ13" s="4">
        <v>1.0</v>
      </c>
      <c r="AR13" s="6">
        <v>0</v>
      </c>
      <c r="AS13" s="6">
        <v>0</v>
      </c>
      <c r="AT13" s="6">
        <v>0</v>
      </c>
      <c r="AU13" s="3">
        <v>0</v>
      </c>
      <c r="AV13" s="4">
        <v>3.0</v>
      </c>
      <c r="AW13" s="5">
        <v>900.0</v>
      </c>
    </row>
    <row r="14" spans="1:49">
      <c r="A14" s="3">
        <v>12</v>
      </c>
      <c r="B14" s="3" t="s">
        <v>71</v>
      </c>
      <c r="C14" t="s">
        <v>72</v>
      </c>
      <c r="D14" s="3" t="s">
        <v>45</v>
      </c>
      <c r="E14" s="4">
        <v>56.0</v>
      </c>
      <c r="F14" s="5">
        <v>262863.994</v>
      </c>
      <c r="G14" s="4">
        <v>11.0</v>
      </c>
      <c r="H14" s="5">
        <v>51633.995</v>
      </c>
      <c r="I14" s="6">
        <v>0</v>
      </c>
      <c r="J14" s="6">
        <v>0</v>
      </c>
      <c r="K14" s="4">
        <v>14.0</v>
      </c>
      <c r="L14" s="5">
        <v>65715.986</v>
      </c>
      <c r="M14" s="10">
        <v>0.21428571428571</v>
      </c>
      <c r="N14" s="4">
        <v>11.0</v>
      </c>
      <c r="O14" s="4">
        <v>1.0</v>
      </c>
      <c r="P14" s="6">
        <v>0</v>
      </c>
      <c r="Q14" s="6">
        <v>0</v>
      </c>
      <c r="R14" s="6">
        <v>0</v>
      </c>
      <c r="S14" s="6">
        <v>0</v>
      </c>
      <c r="T14" s="4">
        <v>1.833333</v>
      </c>
      <c r="U14" s="14" t="s">
        <v>63</v>
      </c>
      <c r="V14" s="5">
        <v>48256.071</v>
      </c>
      <c r="W14" s="5">
        <v>4386.9155454545</v>
      </c>
      <c r="X14" s="5">
        <v>67422.41</v>
      </c>
      <c r="Y14" s="5">
        <v>6129.31</v>
      </c>
      <c r="Z14" s="5">
        <v>19166.339</v>
      </c>
      <c r="AA14" s="5">
        <v>1742.3944545455</v>
      </c>
      <c r="AB14" s="9">
        <v>0.28427252897071</v>
      </c>
      <c r="AC14" s="4">
        <v>11.0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66</v>
      </c>
      <c r="E15" s="4">
        <v>1435.0</v>
      </c>
      <c r="F15" s="5">
        <v>68880.0</v>
      </c>
      <c r="G15" s="4">
        <v>900.0</v>
      </c>
      <c r="H15" s="5">
        <v>43200.0</v>
      </c>
      <c r="I15" s="6">
        <v>0</v>
      </c>
      <c r="J15" s="6">
        <v>0</v>
      </c>
      <c r="K15" s="4">
        <v>73.818178</v>
      </c>
      <c r="L15" s="5">
        <v>3543.272544</v>
      </c>
      <c r="M15" s="7">
        <v>-11.192118857228</v>
      </c>
      <c r="N15" s="4">
        <v>58.0</v>
      </c>
      <c r="O15" s="4">
        <v>5.272727</v>
      </c>
      <c r="P15" s="6">
        <v>0</v>
      </c>
      <c r="Q15" s="6">
        <v>0</v>
      </c>
      <c r="R15" s="6">
        <v>0</v>
      </c>
      <c r="S15" s="6">
        <v>0</v>
      </c>
      <c r="T15" s="4">
        <v>9.666666</v>
      </c>
      <c r="U15" s="14" t="s">
        <v>63</v>
      </c>
      <c r="V15" s="5">
        <v>2601.88</v>
      </c>
      <c r="W15" s="5">
        <v>44.86</v>
      </c>
      <c r="X15" s="6">
        <v>0</v>
      </c>
      <c r="Y15" s="5">
        <v>0.0</v>
      </c>
      <c r="Z15" s="5">
        <v>-2601.88</v>
      </c>
      <c r="AA15" s="5">
        <v>-44.86</v>
      </c>
      <c r="AB15" s="16">
        <v>0</v>
      </c>
      <c r="AC15" s="4">
        <v>58.0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75</v>
      </c>
      <c r="C16" t="s">
        <v>76</v>
      </c>
      <c r="D16" s="3" t="s">
        <v>45</v>
      </c>
      <c r="E16" s="6">
        <v>0</v>
      </c>
      <c r="F16" s="6">
        <v>0</v>
      </c>
      <c r="G16" s="4">
        <v>80.0</v>
      </c>
      <c r="H16" s="5">
        <v>33600.0</v>
      </c>
      <c r="I16" s="6">
        <v>0</v>
      </c>
      <c r="J16" s="6">
        <v>0</v>
      </c>
      <c r="K16" s="4">
        <v>28.0</v>
      </c>
      <c r="L16" s="5">
        <v>11760.0</v>
      </c>
      <c r="M16" s="7">
        <v>-1.8571428571429</v>
      </c>
      <c r="N16" s="4">
        <v>21.0</v>
      </c>
      <c r="O16" s="4">
        <v>2.0</v>
      </c>
      <c r="P16" s="4">
        <v>2.0</v>
      </c>
      <c r="Q16" s="6">
        <v>0</v>
      </c>
      <c r="R16" s="4">
        <v>49.0</v>
      </c>
      <c r="S16" s="5">
        <v>20580.0</v>
      </c>
      <c r="T16" s="4">
        <v>3.833333</v>
      </c>
      <c r="U16" s="13">
        <v>12.782609807183</v>
      </c>
      <c r="V16" s="5">
        <v>8462.94</v>
      </c>
      <c r="W16" s="5">
        <v>402.99714285714</v>
      </c>
      <c r="X16" s="5">
        <v>9057.979</v>
      </c>
      <c r="Y16" s="5">
        <v>431.33233333333</v>
      </c>
      <c r="Z16" s="5">
        <v>595.039</v>
      </c>
      <c r="AA16" s="5">
        <v>28.33519047619</v>
      </c>
      <c r="AB16" s="12">
        <v>0.065692247685714</v>
      </c>
      <c r="AC16" s="4">
        <v>21.0</v>
      </c>
      <c r="AD16" s="4">
        <v>4.0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785.05</v>
      </c>
      <c r="AK16" s="5">
        <v>392.525</v>
      </c>
      <c r="AL16" s="5">
        <v>1087.85</v>
      </c>
      <c r="AM16" s="5">
        <v>543.925</v>
      </c>
      <c r="AN16" s="5">
        <v>302.8</v>
      </c>
      <c r="AO16" s="5">
        <v>151.4</v>
      </c>
      <c r="AP16" s="9">
        <v>0.27834719860275</v>
      </c>
      <c r="AQ16" s="4">
        <v>2.0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50.0</v>
      </c>
      <c r="F17" s="5">
        <v>106300.0</v>
      </c>
      <c r="G17" s="4">
        <v>7.0</v>
      </c>
      <c r="H17" s="5">
        <v>14882.001</v>
      </c>
      <c r="I17" s="6">
        <v>0</v>
      </c>
      <c r="J17" s="6">
        <v>0</v>
      </c>
      <c r="K17" s="4">
        <v>12.72726</v>
      </c>
      <c r="L17" s="5">
        <v>27058.142033</v>
      </c>
      <c r="M17" s="10">
        <v>0.44999944999945</v>
      </c>
      <c r="N17" s="4">
        <v>8.0</v>
      </c>
      <c r="O17" s="4">
        <v>0.90909</v>
      </c>
      <c r="P17" s="6">
        <v>0</v>
      </c>
      <c r="Q17" s="6">
        <v>0</v>
      </c>
      <c r="R17" s="6">
        <v>0</v>
      </c>
      <c r="S17" s="6">
        <v>0</v>
      </c>
      <c r="T17" s="4">
        <v>1.333333</v>
      </c>
      <c r="U17" s="14" t="s">
        <v>63</v>
      </c>
      <c r="V17" s="5">
        <v>15895.31</v>
      </c>
      <c r="W17" s="5">
        <v>1986.91375</v>
      </c>
      <c r="X17" s="5">
        <v>26497.813</v>
      </c>
      <c r="Y17" s="5">
        <v>3312.226625</v>
      </c>
      <c r="Z17" s="5">
        <v>10602.503</v>
      </c>
      <c r="AA17" s="5">
        <v>1325.312875</v>
      </c>
      <c r="AB17" s="9">
        <v>0.40012747467121</v>
      </c>
      <c r="AC17" s="4">
        <v>8.0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79</v>
      </c>
      <c r="C18" t="s">
        <v>80</v>
      </c>
      <c r="D18" s="3" t="s">
        <v>45</v>
      </c>
      <c r="E18" s="6">
        <v>0</v>
      </c>
      <c r="F18" s="6">
        <v>0</v>
      </c>
      <c r="G18" s="4">
        <v>20.0</v>
      </c>
      <c r="H18" s="5">
        <v>8400.02</v>
      </c>
      <c r="I18" s="6">
        <v>0</v>
      </c>
      <c r="J18" s="6">
        <v>0</v>
      </c>
      <c r="K18" s="6">
        <v>0</v>
      </c>
      <c r="L18" s="6">
        <v>0</v>
      </c>
      <c r="M18" s="18">
        <v>0</v>
      </c>
      <c r="N18" s="6">
        <v>0</v>
      </c>
      <c r="O18" s="6">
        <v>0</v>
      </c>
      <c r="P18" s="4">
        <v>2.0</v>
      </c>
      <c r="Q18" s="6">
        <v>0</v>
      </c>
      <c r="R18" s="4">
        <v>18.0</v>
      </c>
      <c r="S18" s="5">
        <v>7560.018</v>
      </c>
      <c r="T18" s="4">
        <v>0.333333</v>
      </c>
      <c r="U18" s="13">
        <v>54.000054000054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4">
        <v>1.0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5">
        <v>0.0</v>
      </c>
      <c r="AL18" s="5">
        <v>1289.72</v>
      </c>
      <c r="AM18" s="5">
        <v>644.86</v>
      </c>
      <c r="AN18" s="5">
        <v>1289.72</v>
      </c>
      <c r="AO18" s="5">
        <v>644.86</v>
      </c>
      <c r="AP18" s="9">
        <v>1.0</v>
      </c>
      <c r="AQ18" s="4">
        <v>2.0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45</v>
      </c>
      <c r="E19" s="4">
        <v>70.0</v>
      </c>
      <c r="F19" s="5">
        <v>14000.0</v>
      </c>
      <c r="G19" s="4">
        <v>30.0</v>
      </c>
      <c r="H19" s="5">
        <v>6000.0</v>
      </c>
      <c r="I19" s="6">
        <v>0</v>
      </c>
      <c r="J19" s="6">
        <v>0</v>
      </c>
      <c r="K19" s="4">
        <v>31.818178</v>
      </c>
      <c r="L19" s="5">
        <v>6363.6356</v>
      </c>
      <c r="M19" s="10">
        <v>0.057142743999986</v>
      </c>
      <c r="N19" s="4">
        <v>24.0</v>
      </c>
      <c r="O19" s="4">
        <v>2.272727</v>
      </c>
      <c r="P19" s="6">
        <v>0</v>
      </c>
      <c r="Q19" s="6">
        <v>0</v>
      </c>
      <c r="R19" s="4">
        <v>7.0</v>
      </c>
      <c r="S19" s="5">
        <v>1400.0</v>
      </c>
      <c r="T19" s="4">
        <v>4.0</v>
      </c>
      <c r="U19" s="8">
        <v>1.75</v>
      </c>
      <c r="V19" s="5">
        <v>4486.01</v>
      </c>
      <c r="W19" s="5">
        <v>186.91708333333</v>
      </c>
      <c r="X19" s="5">
        <v>8740.844</v>
      </c>
      <c r="Y19" s="5">
        <v>364.20183333333</v>
      </c>
      <c r="Z19" s="5">
        <v>4254.834</v>
      </c>
      <c r="AA19" s="5">
        <v>177.28475</v>
      </c>
      <c r="AB19" s="9">
        <v>0.48677610537381</v>
      </c>
      <c r="AC19" s="4">
        <v>24.0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85</v>
      </c>
      <c r="E20" s="6">
        <v>0</v>
      </c>
      <c r="F20" s="6">
        <v>0</v>
      </c>
      <c r="G20" s="4">
        <v>20.0</v>
      </c>
      <c r="H20" s="5">
        <v>5600.0</v>
      </c>
      <c r="I20" s="6">
        <v>0</v>
      </c>
      <c r="J20" s="6">
        <v>0</v>
      </c>
      <c r="K20" s="4">
        <v>25.454534</v>
      </c>
      <c r="L20" s="5">
        <v>7127.26952</v>
      </c>
      <c r="M20" s="10">
        <v>0.21428536071413</v>
      </c>
      <c r="N20" s="4">
        <v>20.0</v>
      </c>
      <c r="O20" s="4">
        <v>1.818181</v>
      </c>
      <c r="P20" s="6">
        <v>0</v>
      </c>
      <c r="Q20" s="6">
        <v>0</v>
      </c>
      <c r="R20" s="6">
        <v>0</v>
      </c>
      <c r="S20" s="6">
        <v>0</v>
      </c>
      <c r="T20" s="4">
        <v>3.333333</v>
      </c>
      <c r="U20" s="14" t="s">
        <v>63</v>
      </c>
      <c r="V20" s="5">
        <v>5233.642</v>
      </c>
      <c r="W20" s="5">
        <v>261.6821</v>
      </c>
      <c r="X20" s="5">
        <v>2144.857</v>
      </c>
      <c r="Y20" s="5">
        <v>107.24285</v>
      </c>
      <c r="Z20" s="5">
        <v>-3088.785</v>
      </c>
      <c r="AA20" s="5">
        <v>-154.43925</v>
      </c>
      <c r="AB20" s="15">
        <v>-1.4400890129272</v>
      </c>
      <c r="AC20" s="4">
        <v>20.0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45</v>
      </c>
      <c r="E21" s="6">
        <v>0</v>
      </c>
      <c r="F21" s="6">
        <v>0</v>
      </c>
      <c r="G21" s="4">
        <v>20.0</v>
      </c>
      <c r="H21" s="5">
        <v>5000.0</v>
      </c>
      <c r="I21" s="6">
        <v>0</v>
      </c>
      <c r="J21" s="6">
        <v>0</v>
      </c>
      <c r="K21" s="4">
        <v>11.454534</v>
      </c>
      <c r="L21" s="5">
        <v>2863.6335</v>
      </c>
      <c r="M21" s="7">
        <v>-0.74603349206524</v>
      </c>
      <c r="N21" s="4">
        <v>9.0</v>
      </c>
      <c r="O21" s="4">
        <v>0.818181</v>
      </c>
      <c r="P21" s="6">
        <v>0</v>
      </c>
      <c r="Q21" s="6">
        <v>0</v>
      </c>
      <c r="R21" s="4">
        <v>22.0</v>
      </c>
      <c r="S21" s="5">
        <v>5500.0</v>
      </c>
      <c r="T21" s="4">
        <v>1.5</v>
      </c>
      <c r="U21" s="13">
        <v>14.666666666667</v>
      </c>
      <c r="V21" s="5">
        <v>2102.81</v>
      </c>
      <c r="W21" s="5">
        <v>233.64555555556</v>
      </c>
      <c r="X21" s="5">
        <v>3807.945</v>
      </c>
      <c r="Y21" s="5">
        <v>423.105</v>
      </c>
      <c r="Z21" s="5">
        <v>1705.135</v>
      </c>
      <c r="AA21" s="5">
        <v>189.45944444444</v>
      </c>
      <c r="AB21" s="9">
        <v>0.44778351578082</v>
      </c>
      <c r="AC21" s="4">
        <v>9.0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88</v>
      </c>
      <c r="C22" t="s">
        <v>89</v>
      </c>
      <c r="D22" s="3" t="s">
        <v>85</v>
      </c>
      <c r="E22" s="6">
        <v>0</v>
      </c>
      <c r="F22" s="6">
        <v>0</v>
      </c>
      <c r="G22" s="4">
        <v>150.0</v>
      </c>
      <c r="H22" s="5">
        <v>4800.0</v>
      </c>
      <c r="I22" s="6">
        <v>0</v>
      </c>
      <c r="J22" s="6">
        <v>0</v>
      </c>
      <c r="K22" s="6">
        <v>0</v>
      </c>
      <c r="L22" s="6">
        <v>0</v>
      </c>
      <c r="M22" s="18">
        <v>0</v>
      </c>
      <c r="N22" s="6">
        <v>0</v>
      </c>
      <c r="O22" s="6">
        <v>0</v>
      </c>
      <c r="P22" s="6">
        <v>0</v>
      </c>
      <c r="Q22" s="6">
        <v>0</v>
      </c>
      <c r="R22" s="4">
        <v>150.0</v>
      </c>
      <c r="S22" s="5">
        <v>4800.0</v>
      </c>
      <c r="T22" s="6">
        <v>0</v>
      </c>
      <c r="U22" s="14" t="s">
        <v>63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85</v>
      </c>
      <c r="E23" s="6">
        <v>0</v>
      </c>
      <c r="F23" s="6">
        <v>0</v>
      </c>
      <c r="G23" s="4">
        <v>100.0</v>
      </c>
      <c r="H23" s="5">
        <v>3700.0</v>
      </c>
      <c r="I23" s="6">
        <v>0</v>
      </c>
      <c r="J23" s="6">
        <v>0</v>
      </c>
      <c r="K23" s="6">
        <v>0</v>
      </c>
      <c r="L23" s="6">
        <v>0</v>
      </c>
      <c r="M23" s="18">
        <v>0</v>
      </c>
      <c r="N23" s="6">
        <v>0</v>
      </c>
      <c r="O23" s="6">
        <v>0</v>
      </c>
      <c r="P23" s="6">
        <v>0</v>
      </c>
      <c r="Q23" s="6">
        <v>0</v>
      </c>
      <c r="R23" s="4">
        <v>100.0</v>
      </c>
      <c r="S23" s="5">
        <v>3700.0</v>
      </c>
      <c r="T23" s="6">
        <v>0</v>
      </c>
      <c r="U23" s="14" t="s">
        <v>63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45</v>
      </c>
      <c r="E24" s="6">
        <v>0</v>
      </c>
      <c r="F24" s="6">
        <v>0</v>
      </c>
      <c r="G24" s="4">
        <v>12.0</v>
      </c>
      <c r="H24" s="5">
        <v>3000.0</v>
      </c>
      <c r="I24" s="6">
        <v>0</v>
      </c>
      <c r="J24" s="6">
        <v>0</v>
      </c>
      <c r="K24" s="4">
        <v>2.545452</v>
      </c>
      <c r="L24" s="5">
        <v>636.363</v>
      </c>
      <c r="M24" s="7">
        <v>-3.7142904285761</v>
      </c>
      <c r="N24" s="4">
        <v>2.0</v>
      </c>
      <c r="O24" s="4">
        <v>0.181818</v>
      </c>
      <c r="P24" s="6">
        <v>0</v>
      </c>
      <c r="Q24" s="6">
        <v>0</v>
      </c>
      <c r="R24" s="6">
        <v>0</v>
      </c>
      <c r="S24" s="6">
        <v>0</v>
      </c>
      <c r="T24" s="4">
        <v>0.333333</v>
      </c>
      <c r="U24" s="14" t="s">
        <v>63</v>
      </c>
      <c r="V24" s="5">
        <v>467.29</v>
      </c>
      <c r="W24" s="5">
        <v>233.645</v>
      </c>
      <c r="X24" s="5">
        <v>654.206</v>
      </c>
      <c r="Y24" s="5">
        <v>327.103</v>
      </c>
      <c r="Z24" s="5">
        <v>186.916</v>
      </c>
      <c r="AA24" s="5">
        <v>93.458</v>
      </c>
      <c r="AB24" s="9">
        <v>0.28571428571429</v>
      </c>
      <c r="AC24" s="4">
        <v>2.0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85</v>
      </c>
      <c r="E25" s="6">
        <v>0</v>
      </c>
      <c r="F25" s="6">
        <v>0</v>
      </c>
      <c r="G25" s="4">
        <v>100.0</v>
      </c>
      <c r="H25" s="5">
        <v>1700.0</v>
      </c>
      <c r="I25" s="6">
        <v>0</v>
      </c>
      <c r="J25" s="6">
        <v>0</v>
      </c>
      <c r="K25" s="6">
        <v>0</v>
      </c>
      <c r="L25" s="6">
        <v>0</v>
      </c>
      <c r="M25" s="18">
        <v>0</v>
      </c>
      <c r="N25" s="6">
        <v>0</v>
      </c>
      <c r="O25" s="6">
        <v>0</v>
      </c>
      <c r="P25" s="6">
        <v>0</v>
      </c>
      <c r="Q25" s="6">
        <v>0</v>
      </c>
      <c r="R25" s="4">
        <v>100.0</v>
      </c>
      <c r="S25" s="5">
        <v>1700.0</v>
      </c>
      <c r="T25" s="6">
        <v>0</v>
      </c>
      <c r="U25" s="14" t="s">
        <v>63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85</v>
      </c>
      <c r="E26" s="6">
        <v>0</v>
      </c>
      <c r="F26" s="6">
        <v>0</v>
      </c>
      <c r="G26" s="4">
        <v>100.0</v>
      </c>
      <c r="H26" s="5">
        <v>1600.0</v>
      </c>
      <c r="I26" s="6">
        <v>0</v>
      </c>
      <c r="J26" s="6">
        <v>0</v>
      </c>
      <c r="K26" s="6">
        <v>0</v>
      </c>
      <c r="L26" s="6">
        <v>0</v>
      </c>
      <c r="M26" s="18">
        <v>0</v>
      </c>
      <c r="N26" s="6">
        <v>0</v>
      </c>
      <c r="O26" s="6">
        <v>0</v>
      </c>
      <c r="P26" s="6">
        <v>0</v>
      </c>
      <c r="Q26" s="6">
        <v>0</v>
      </c>
      <c r="R26" s="4">
        <v>100.0</v>
      </c>
      <c r="S26" s="5">
        <v>1600.0</v>
      </c>
      <c r="T26" s="6">
        <v>0</v>
      </c>
      <c r="U26" s="14" t="s">
        <v>63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85</v>
      </c>
      <c r="E27" s="6">
        <v>0</v>
      </c>
      <c r="F27" s="6">
        <v>0</v>
      </c>
      <c r="G27" s="4">
        <v>50.0</v>
      </c>
      <c r="H27" s="5">
        <v>1500.0</v>
      </c>
      <c r="I27" s="6">
        <v>0</v>
      </c>
      <c r="J27" s="6">
        <v>0</v>
      </c>
      <c r="K27" s="6">
        <v>0</v>
      </c>
      <c r="L27" s="6">
        <v>0</v>
      </c>
      <c r="M27" s="18">
        <v>0</v>
      </c>
      <c r="N27" s="6">
        <v>0</v>
      </c>
      <c r="O27" s="6">
        <v>0</v>
      </c>
      <c r="P27" s="6">
        <v>0</v>
      </c>
      <c r="Q27" s="6">
        <v>0</v>
      </c>
      <c r="R27" s="4">
        <v>50.0</v>
      </c>
      <c r="S27" s="5">
        <v>1500.0</v>
      </c>
      <c r="T27" s="6">
        <v>0</v>
      </c>
      <c r="U27" s="14" t="s">
        <v>63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85</v>
      </c>
      <c r="E28" s="6">
        <v>0</v>
      </c>
      <c r="F28" s="6">
        <v>0</v>
      </c>
      <c r="G28" s="4">
        <v>50.0</v>
      </c>
      <c r="H28" s="5">
        <v>1050.0</v>
      </c>
      <c r="I28" s="6">
        <v>0</v>
      </c>
      <c r="J28" s="6">
        <v>0</v>
      </c>
      <c r="K28" s="6">
        <v>0</v>
      </c>
      <c r="L28" s="6">
        <v>0</v>
      </c>
      <c r="M28" s="18">
        <v>0</v>
      </c>
      <c r="N28" s="6">
        <v>0</v>
      </c>
      <c r="O28" s="6">
        <v>0</v>
      </c>
      <c r="P28" s="6">
        <v>0</v>
      </c>
      <c r="Q28" s="6">
        <v>0</v>
      </c>
      <c r="R28" s="4">
        <v>50.0</v>
      </c>
      <c r="S28" s="5">
        <v>1050.0</v>
      </c>
      <c r="T28" s="6">
        <v>0</v>
      </c>
      <c r="U28" s="14" t="s">
        <v>63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85</v>
      </c>
      <c r="E29" s="6">
        <v>0</v>
      </c>
      <c r="F29" s="6">
        <v>0</v>
      </c>
      <c r="G29" s="4">
        <v>50.0</v>
      </c>
      <c r="H29" s="5">
        <v>1050.0</v>
      </c>
      <c r="I29" s="6">
        <v>0</v>
      </c>
      <c r="J29" s="6">
        <v>0</v>
      </c>
      <c r="K29" s="6">
        <v>0</v>
      </c>
      <c r="L29" s="6">
        <v>0</v>
      </c>
      <c r="M29" s="18">
        <v>0</v>
      </c>
      <c r="N29" s="6">
        <v>0</v>
      </c>
      <c r="O29" s="6">
        <v>0</v>
      </c>
      <c r="P29" s="6">
        <v>0</v>
      </c>
      <c r="Q29" s="6">
        <v>0</v>
      </c>
      <c r="R29" s="4">
        <v>50.0</v>
      </c>
      <c r="S29" s="5">
        <v>1050.0</v>
      </c>
      <c r="T29" s="6">
        <v>0</v>
      </c>
      <c r="U29" s="14" t="s">
        <v>63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85</v>
      </c>
      <c r="E30" s="6">
        <v>0</v>
      </c>
      <c r="F30" s="6">
        <v>0</v>
      </c>
      <c r="G30" s="4">
        <v>150.0</v>
      </c>
      <c r="H30" s="5">
        <v>225.0</v>
      </c>
      <c r="I30" s="6">
        <v>0</v>
      </c>
      <c r="J30" s="6">
        <v>0</v>
      </c>
      <c r="K30" s="6">
        <v>0</v>
      </c>
      <c r="L30" s="6">
        <v>0</v>
      </c>
      <c r="M30" s="18">
        <v>0</v>
      </c>
      <c r="N30" s="6">
        <v>0</v>
      </c>
      <c r="O30" s="6">
        <v>0</v>
      </c>
      <c r="P30" s="6">
        <v>0</v>
      </c>
      <c r="Q30" s="6">
        <v>0</v>
      </c>
      <c r="R30" s="4">
        <v>150.0</v>
      </c>
      <c r="S30" s="5">
        <v>225.0</v>
      </c>
      <c r="T30" s="6">
        <v>0</v>
      </c>
      <c r="U30" s="14" t="s">
        <v>63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45</v>
      </c>
      <c r="E31" s="4">
        <v>1000.0</v>
      </c>
      <c r="F31" s="6">
        <v>0</v>
      </c>
      <c r="G31" s="4">
        <v>500.0</v>
      </c>
      <c r="H31" s="6">
        <v>0</v>
      </c>
      <c r="I31" s="6">
        <v>0</v>
      </c>
      <c r="J31" s="6">
        <v>0</v>
      </c>
      <c r="K31" s="4">
        <v>173.090904</v>
      </c>
      <c r="L31" s="6">
        <v>0</v>
      </c>
      <c r="M31" s="7">
        <v>-1.8886555471453</v>
      </c>
      <c r="N31" s="4">
        <v>136.0</v>
      </c>
      <c r="O31" s="4">
        <v>12.363636</v>
      </c>
      <c r="P31" s="4">
        <v>3.0</v>
      </c>
      <c r="Q31" s="6">
        <v>0</v>
      </c>
      <c r="R31" s="4">
        <v>980.0</v>
      </c>
      <c r="S31" s="6">
        <v>0</v>
      </c>
      <c r="T31" s="4">
        <v>23.166666</v>
      </c>
      <c r="U31" s="13">
        <v>42.30215949071</v>
      </c>
      <c r="V31" s="6">
        <v>0</v>
      </c>
      <c r="W31" s="5">
        <v>0.0</v>
      </c>
      <c r="X31" s="6">
        <v>0</v>
      </c>
      <c r="Y31" s="5">
        <v>0.0</v>
      </c>
      <c r="Z31" s="6">
        <v>0</v>
      </c>
      <c r="AA31" s="5">
        <v>0.0</v>
      </c>
      <c r="AB31" s="3">
        <v>0</v>
      </c>
      <c r="AC31" s="4">
        <v>136.0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5">
        <v>0.0</v>
      </c>
      <c r="AL31" s="6">
        <v>0</v>
      </c>
      <c r="AM31" s="5">
        <v>0.0</v>
      </c>
      <c r="AN31" s="6">
        <v>0</v>
      </c>
      <c r="AO31" s="5">
        <v>0.0</v>
      </c>
      <c r="AP31" s="3">
        <v>0</v>
      </c>
      <c r="AQ31" s="4">
        <v>3.0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56</v>
      </c>
      <c r="E32" s="4">
        <v>360.0</v>
      </c>
      <c r="F32" s="5">
        <v>342000.04</v>
      </c>
      <c r="G32" s="6">
        <v>0</v>
      </c>
      <c r="H32" s="6">
        <v>0</v>
      </c>
      <c r="I32" s="6">
        <v>0</v>
      </c>
      <c r="J32" s="6">
        <v>0</v>
      </c>
      <c r="K32" s="4">
        <v>14.0</v>
      </c>
      <c r="L32" s="5">
        <v>13300.014</v>
      </c>
      <c r="M32" s="10">
        <v>1.0</v>
      </c>
      <c r="N32" s="4">
        <v>11.0</v>
      </c>
      <c r="O32" s="4">
        <v>1.0</v>
      </c>
      <c r="P32" s="6">
        <v>0</v>
      </c>
      <c r="Q32" s="6">
        <v>0</v>
      </c>
      <c r="R32" s="6">
        <v>0</v>
      </c>
      <c r="S32" s="6">
        <v>0</v>
      </c>
      <c r="T32" s="4">
        <v>1.666666</v>
      </c>
      <c r="U32" s="14" t="s">
        <v>63</v>
      </c>
      <c r="V32" s="5">
        <v>9822.462</v>
      </c>
      <c r="W32" s="5">
        <v>892.95109090909</v>
      </c>
      <c r="X32" s="5">
        <v>10043.0</v>
      </c>
      <c r="Y32" s="5">
        <v>913.0</v>
      </c>
      <c r="Z32" s="5">
        <v>220.538</v>
      </c>
      <c r="AA32" s="5">
        <v>20.048909090909</v>
      </c>
      <c r="AB32" s="12">
        <v>0.021959374688838</v>
      </c>
      <c r="AC32" s="4">
        <v>11.0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45</v>
      </c>
      <c r="E33" s="4">
        <v>570.0</v>
      </c>
      <c r="F33" s="5">
        <v>438900.0</v>
      </c>
      <c r="G33" s="6">
        <v>0</v>
      </c>
      <c r="H33" s="6">
        <v>0</v>
      </c>
      <c r="I33" s="6">
        <v>0</v>
      </c>
      <c r="J33" s="6">
        <v>0</v>
      </c>
      <c r="K33" s="4">
        <v>2.545452</v>
      </c>
      <c r="L33" s="5">
        <v>1959.99804</v>
      </c>
      <c r="M33" s="10">
        <v>1.0</v>
      </c>
      <c r="N33" s="4">
        <v>1.0</v>
      </c>
      <c r="O33" s="4">
        <v>0.181818</v>
      </c>
      <c r="P33" s="6">
        <v>0</v>
      </c>
      <c r="Q33" s="6">
        <v>0</v>
      </c>
      <c r="R33" s="6">
        <v>0</v>
      </c>
      <c r="S33" s="6">
        <v>0</v>
      </c>
      <c r="T33" s="4">
        <v>0.166666</v>
      </c>
      <c r="U33" s="14" t="s">
        <v>63</v>
      </c>
      <c r="V33" s="5">
        <v>719.64</v>
      </c>
      <c r="W33" s="5">
        <v>719.64</v>
      </c>
      <c r="X33" s="5">
        <v>1268.224</v>
      </c>
      <c r="Y33" s="5">
        <v>1268.224</v>
      </c>
      <c r="Z33" s="5">
        <v>548.584</v>
      </c>
      <c r="AA33" s="5">
        <v>548.584</v>
      </c>
      <c r="AB33" s="9">
        <v>0.43256080944691</v>
      </c>
      <c r="AC33" s="4">
        <v>1.0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85</v>
      </c>
      <c r="E34" s="4">
        <v>20530.0</v>
      </c>
      <c r="F34" s="5">
        <v>35454.0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8">
        <v>0</v>
      </c>
      <c r="N34" s="6">
        <v>0</v>
      </c>
      <c r="O34" s="6">
        <v>0</v>
      </c>
      <c r="P34" s="6">
        <v>0</v>
      </c>
      <c r="Q34" s="6">
        <v>0</v>
      </c>
      <c r="R34" s="4">
        <v>1508.0</v>
      </c>
      <c r="S34" s="5">
        <v>2537.964</v>
      </c>
      <c r="T34" s="6">
        <v>0</v>
      </c>
      <c r="U34" s="14" t="s">
        <v>63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116</v>
      </c>
      <c r="E35" s="4">
        <v>1000.0</v>
      </c>
      <c r="F35" s="5">
        <v>1250000.0</v>
      </c>
      <c r="G35" s="6">
        <v>0</v>
      </c>
      <c r="H35" s="6">
        <v>0</v>
      </c>
      <c r="I35" s="6">
        <v>0</v>
      </c>
      <c r="J35" s="6">
        <v>0</v>
      </c>
      <c r="K35" s="4">
        <v>24.181808</v>
      </c>
      <c r="L35" s="5">
        <v>28249.792651</v>
      </c>
      <c r="M35" s="10">
        <v>1.0</v>
      </c>
      <c r="N35" s="4">
        <v>17.0</v>
      </c>
      <c r="O35" s="4">
        <v>1.727272</v>
      </c>
      <c r="P35" s="6">
        <v>0</v>
      </c>
      <c r="Q35" s="6">
        <v>0</v>
      </c>
      <c r="R35" s="4">
        <v>2.0</v>
      </c>
      <c r="S35" s="5">
        <v>2336.45</v>
      </c>
      <c r="T35" s="4">
        <v>2.833333</v>
      </c>
      <c r="U35" s="8">
        <v>0.70588243598617</v>
      </c>
      <c r="V35" s="5">
        <v>19859.791</v>
      </c>
      <c r="W35" s="5">
        <v>1168.223</v>
      </c>
      <c r="X35" s="5">
        <v>31458.432</v>
      </c>
      <c r="Y35" s="5">
        <v>1850.496</v>
      </c>
      <c r="Z35" s="5">
        <v>11598.641</v>
      </c>
      <c r="AA35" s="5">
        <v>682.273</v>
      </c>
      <c r="AB35" s="9">
        <v>0.3686973654631</v>
      </c>
      <c r="AC35" s="4">
        <v>17.0</v>
      </c>
      <c r="AD35" s="4">
        <v>3.0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117</v>
      </c>
      <c r="C36" t="s">
        <v>118</v>
      </c>
      <c r="D36" s="3" t="s">
        <v>45</v>
      </c>
      <c r="E36" s="4">
        <v>500.0</v>
      </c>
      <c r="F36" s="5">
        <v>460000.0</v>
      </c>
      <c r="G36" s="6">
        <v>0</v>
      </c>
      <c r="H36" s="6">
        <v>0</v>
      </c>
      <c r="I36" s="6">
        <v>0</v>
      </c>
      <c r="J36" s="6">
        <v>0</v>
      </c>
      <c r="K36" s="4">
        <v>220.181808</v>
      </c>
      <c r="L36" s="5">
        <v>202567.26336</v>
      </c>
      <c r="M36" s="10">
        <v>1.0</v>
      </c>
      <c r="N36" s="4">
        <v>172.0</v>
      </c>
      <c r="O36" s="4">
        <v>15.727272</v>
      </c>
      <c r="P36" s="6">
        <v>0</v>
      </c>
      <c r="Q36" s="6">
        <v>0</v>
      </c>
      <c r="R36" s="4">
        <v>4.0</v>
      </c>
      <c r="S36" s="5">
        <v>3680.0</v>
      </c>
      <c r="T36" s="4">
        <v>20.166666</v>
      </c>
      <c r="U36" s="8">
        <v>0.19834711399495</v>
      </c>
      <c r="V36" s="5">
        <v>147887.836</v>
      </c>
      <c r="W36" s="5">
        <v>859.813</v>
      </c>
      <c r="X36" s="5">
        <v>221604.639</v>
      </c>
      <c r="Y36" s="5">
        <v>1288.3990639535</v>
      </c>
      <c r="Z36" s="5">
        <v>73716.803</v>
      </c>
      <c r="AA36" s="5">
        <v>428.58606395349</v>
      </c>
      <c r="AB36" s="9">
        <v>0.33265008951369</v>
      </c>
      <c r="AC36" s="4">
        <v>172.0</v>
      </c>
      <c r="AD36" s="4">
        <v>1.0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119</v>
      </c>
      <c r="C37" t="s">
        <v>120</v>
      </c>
      <c r="D37" s="3" t="s">
        <v>45</v>
      </c>
      <c r="E37" s="4">
        <v>26.0</v>
      </c>
      <c r="F37" s="5">
        <v>91000.0</v>
      </c>
      <c r="G37" s="6">
        <v>0</v>
      </c>
      <c r="H37" s="6">
        <v>0</v>
      </c>
      <c r="I37" s="6">
        <v>0</v>
      </c>
      <c r="J37" s="6">
        <v>0</v>
      </c>
      <c r="K37" s="4">
        <v>29.272726</v>
      </c>
      <c r="L37" s="5">
        <v>102454.541</v>
      </c>
      <c r="M37" s="10">
        <v>1.0</v>
      </c>
      <c r="N37" s="4">
        <v>23.0</v>
      </c>
      <c r="O37" s="4">
        <v>2.090909</v>
      </c>
      <c r="P37" s="6">
        <v>0</v>
      </c>
      <c r="Q37" s="6">
        <v>0</v>
      </c>
      <c r="R37" s="6">
        <v>0</v>
      </c>
      <c r="S37" s="6">
        <v>0</v>
      </c>
      <c r="T37" s="4">
        <v>3.833333</v>
      </c>
      <c r="U37" s="14" t="s">
        <v>63</v>
      </c>
      <c r="V37" s="5">
        <v>75233.641</v>
      </c>
      <c r="W37" s="5">
        <v>3271.0278695652</v>
      </c>
      <c r="X37" s="5">
        <v>94579.451</v>
      </c>
      <c r="Y37" s="5">
        <v>4112.1500434783</v>
      </c>
      <c r="Z37" s="5">
        <v>19345.81</v>
      </c>
      <c r="AA37" s="5">
        <v>841.12217391304</v>
      </c>
      <c r="AB37" s="12">
        <v>0.20454559415871</v>
      </c>
      <c r="AC37" s="4">
        <v>23.0</v>
      </c>
      <c r="AD37" s="4">
        <v>1.0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121</v>
      </c>
      <c r="C38" t="s">
        <v>122</v>
      </c>
      <c r="D38" s="3" t="s">
        <v>123</v>
      </c>
      <c r="E38" s="4">
        <v>1.0</v>
      </c>
      <c r="F38" s="5">
        <v>1779.999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8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4" t="s">
        <v>63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124</v>
      </c>
      <c r="C39" t="s">
        <v>125</v>
      </c>
      <c r="D39" s="3" t="s">
        <v>85</v>
      </c>
      <c r="E39" s="4">
        <v>10.0</v>
      </c>
      <c r="F39" s="5">
        <v>10200.0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8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4" t="s">
        <v>63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126</v>
      </c>
      <c r="C40" t="s">
        <v>127</v>
      </c>
      <c r="D40" s="3" t="s">
        <v>85</v>
      </c>
      <c r="E40" s="4">
        <v>1.0</v>
      </c>
      <c r="F40" s="5">
        <v>1950.0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8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14" t="s">
        <v>63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128</v>
      </c>
      <c r="C41" t="s">
        <v>129</v>
      </c>
      <c r="D41" s="3" t="s">
        <v>85</v>
      </c>
      <c r="E41" s="4">
        <v>1.0</v>
      </c>
      <c r="F41" s="5">
        <v>329.999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8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4" t="s">
        <v>63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1" t="s">
        <v>130</v>
      </c>
      <c r="B42" s="1"/>
      <c r="C42" s="1"/>
      <c r="D42" s="1"/>
      <c r="E42" s="1"/>
      <c r="F42" s="19">
        <f>SUM(F3:F42)</f>
        <v>6120070.902</v>
      </c>
      <c r="G42" s="1"/>
      <c r="H42" s="19">
        <f>SUM(H3:H42)</f>
        <v>8635483.604</v>
      </c>
      <c r="I42" s="1"/>
      <c r="J42" s="19">
        <f>SUM(J3:J42)</f>
        <v>0</v>
      </c>
      <c r="K42" s="1"/>
      <c r="L42" s="19">
        <f>SUM(L3:L42)</f>
        <v>8023611.049148</v>
      </c>
      <c r="M42" s="1"/>
      <c r="N42" s="1"/>
      <c r="O42" s="1"/>
      <c r="P42" s="1"/>
      <c r="Q42" s="1"/>
      <c r="R42" s="1"/>
      <c r="S42" s="19">
        <f>SUM(S3:S42)</f>
        <v>1825330.372</v>
      </c>
      <c r="T42" s="1"/>
      <c r="U42" s="1"/>
      <c r="V42" s="19">
        <f>SUM(V3:V42)</f>
        <v>5912748.953</v>
      </c>
      <c r="W42" s="1"/>
      <c r="X42" s="19">
        <f>SUM(X3:X42)</f>
        <v>9780203.784</v>
      </c>
      <c r="Y42" s="1"/>
      <c r="Z42" s="19">
        <f>SUM(Z3:Z42)</f>
        <v>3867454.831</v>
      </c>
      <c r="AA42" s="1"/>
      <c r="AB42" s="1"/>
      <c r="AC42" s="1"/>
      <c r="AD42" s="1"/>
      <c r="AE42" s="1"/>
      <c r="AF42" s="19">
        <f>SUM(AF3:AF42)</f>
        <v>0</v>
      </c>
      <c r="AG42" s="1"/>
      <c r="AH42" s="1"/>
      <c r="AI42" s="19">
        <f>SUM(AI3:AI42)</f>
        <v>9830.001</v>
      </c>
      <c r="AJ42" s="19">
        <f>SUM(AJ3:V42)</f>
        <v>39453201.280139</v>
      </c>
      <c r="AK42" s="1"/>
      <c r="AL42" s="19">
        <f>SUM(AL3:AL42)</f>
        <v>454980.813</v>
      </c>
      <c r="AM42" s="1"/>
      <c r="AN42" s="19">
        <f>SUM(AN3:AN42)</f>
        <v>230195.729</v>
      </c>
      <c r="AO42" s="1"/>
      <c r="AP42" s="1"/>
      <c r="AQ42" s="1"/>
      <c r="AR42" s="1"/>
      <c r="AS42" s="1"/>
      <c r="AT42" s="19">
        <f>SUM(AT3:AT42)</f>
        <v>0</v>
      </c>
      <c r="AU42" s="1"/>
      <c r="AV42" s="1"/>
      <c r="AW42" s="19">
        <f>SUM(AW3:AW42)</f>
        <v>9830.001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2:D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7"/>
  <sheetViews>
    <sheetView tabSelected="0" workbookViewId="0" showGridLines="true" showRowColHeaders="1">
      <pane ySplit="1" topLeftCell="A2" activePane="bottomLeft" state="frozen"/>
      <selection pane="bottomLeft" activeCell="I37" sqref="I3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</v>
      </c>
      <c r="G1" s="1" t="s">
        <v>2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140</v>
      </c>
      <c r="C2" s="3" t="s">
        <v>141</v>
      </c>
      <c r="D2" s="20">
        <v>44994.0</v>
      </c>
      <c r="E2" t="s">
        <v>142</v>
      </c>
      <c r="F2" s="3" t="s">
        <v>46</v>
      </c>
      <c r="G2" t="s">
        <v>47</v>
      </c>
      <c r="H2" s="3" t="s">
        <v>143</v>
      </c>
      <c r="I2" s="4">
        <v>1.0</v>
      </c>
      <c r="J2" t="s">
        <v>144</v>
      </c>
      <c r="K2" t="s">
        <v>145</v>
      </c>
      <c r="L2" t="s">
        <v>146</v>
      </c>
    </row>
    <row r="3" spans="1:36">
      <c r="A3" s="3">
        <v>2</v>
      </c>
      <c r="B3" t="s">
        <v>140</v>
      </c>
      <c r="C3" s="3" t="s">
        <v>147</v>
      </c>
      <c r="D3" s="20">
        <v>45163.0</v>
      </c>
      <c r="E3" t="s">
        <v>148</v>
      </c>
      <c r="F3" s="3" t="s">
        <v>46</v>
      </c>
      <c r="G3" t="s">
        <v>47</v>
      </c>
      <c r="H3" s="3" t="s">
        <v>143</v>
      </c>
      <c r="I3" s="4">
        <v>1.0</v>
      </c>
      <c r="J3" t="s">
        <v>144</v>
      </c>
      <c r="K3" t="s">
        <v>149</v>
      </c>
      <c r="L3" t="s">
        <v>150</v>
      </c>
    </row>
    <row r="4" spans="1:36">
      <c r="A4" s="3">
        <v>3</v>
      </c>
      <c r="B4" t="s">
        <v>140</v>
      </c>
      <c r="C4" s="3" t="s">
        <v>151</v>
      </c>
      <c r="D4" s="20">
        <v>45230.0</v>
      </c>
      <c r="E4" t="s">
        <v>152</v>
      </c>
      <c r="F4" s="3" t="s">
        <v>46</v>
      </c>
      <c r="G4" t="s">
        <v>47</v>
      </c>
      <c r="H4" s="3" t="s">
        <v>143</v>
      </c>
      <c r="I4" s="4">
        <v>6.0</v>
      </c>
      <c r="J4" t="s">
        <v>144</v>
      </c>
      <c r="K4" t="s">
        <v>145</v>
      </c>
      <c r="L4" t="s">
        <v>153</v>
      </c>
    </row>
    <row r="5" spans="1:36">
      <c r="A5" s="3">
        <v>4</v>
      </c>
      <c r="B5" t="s">
        <v>140</v>
      </c>
      <c r="C5" s="3" t="s">
        <v>154</v>
      </c>
      <c r="D5" s="20">
        <v>45278.0</v>
      </c>
      <c r="E5" t="s">
        <v>155</v>
      </c>
      <c r="F5" s="3" t="s">
        <v>46</v>
      </c>
      <c r="G5" t="s">
        <v>47</v>
      </c>
      <c r="H5" s="3" t="s">
        <v>143</v>
      </c>
      <c r="I5" s="4">
        <v>1.0</v>
      </c>
      <c r="J5" t="s">
        <v>144</v>
      </c>
      <c r="K5" t="s">
        <v>145</v>
      </c>
      <c r="L5" t="s">
        <v>156</v>
      </c>
    </row>
    <row r="6" spans="1:36">
      <c r="A6" s="3">
        <v>5</v>
      </c>
      <c r="B6" t="s">
        <v>140</v>
      </c>
      <c r="C6" s="3" t="s">
        <v>157</v>
      </c>
      <c r="D6" s="20">
        <v>45231.0</v>
      </c>
      <c r="E6" t="s">
        <v>158</v>
      </c>
      <c r="F6" s="3" t="s">
        <v>49</v>
      </c>
      <c r="G6" t="s">
        <v>50</v>
      </c>
      <c r="H6" s="3" t="s">
        <v>143</v>
      </c>
      <c r="I6" s="4">
        <v>1.0</v>
      </c>
      <c r="J6" t="s">
        <v>144</v>
      </c>
      <c r="K6" t="s">
        <v>145</v>
      </c>
      <c r="L6" t="s">
        <v>159</v>
      </c>
    </row>
    <row r="7" spans="1:36">
      <c r="A7" s="3">
        <v>6</v>
      </c>
      <c r="B7" t="s">
        <v>160</v>
      </c>
      <c r="C7" s="3" t="s">
        <v>161</v>
      </c>
      <c r="D7" s="20">
        <v>44987.0</v>
      </c>
      <c r="E7" t="s">
        <v>162</v>
      </c>
      <c r="F7" s="3" t="s">
        <v>69</v>
      </c>
      <c r="G7" t="s">
        <v>70</v>
      </c>
      <c r="H7" s="3" t="s">
        <v>143</v>
      </c>
      <c r="I7" s="4">
        <v>2.0</v>
      </c>
      <c r="J7" t="s">
        <v>163</v>
      </c>
      <c r="K7" t="s">
        <v>149</v>
      </c>
      <c r="L7" t="s">
        <v>164</v>
      </c>
    </row>
    <row r="8" spans="1:36">
      <c r="A8" s="3">
        <v>7</v>
      </c>
      <c r="B8" t="s">
        <v>165</v>
      </c>
      <c r="C8" s="3" t="s">
        <v>166</v>
      </c>
      <c r="D8" s="20">
        <v>45059.0</v>
      </c>
      <c r="E8" t="s">
        <v>167</v>
      </c>
      <c r="F8" s="3" t="s">
        <v>69</v>
      </c>
      <c r="G8" t="s">
        <v>70</v>
      </c>
      <c r="H8" s="3" t="s">
        <v>143</v>
      </c>
      <c r="I8" s="4">
        <v>1.0</v>
      </c>
      <c r="J8" t="s">
        <v>163</v>
      </c>
      <c r="K8" t="s">
        <v>149</v>
      </c>
      <c r="L8" t="s">
        <v>153</v>
      </c>
    </row>
    <row r="9" spans="1:36">
      <c r="A9" s="3">
        <v>8</v>
      </c>
      <c r="B9" t="s">
        <v>165</v>
      </c>
      <c r="C9" s="3" t="s">
        <v>168</v>
      </c>
      <c r="D9" s="20">
        <v>45086.0</v>
      </c>
      <c r="E9" t="s">
        <v>167</v>
      </c>
      <c r="F9" s="3" t="s">
        <v>69</v>
      </c>
      <c r="G9" t="s">
        <v>70</v>
      </c>
      <c r="H9" s="3" t="s">
        <v>143</v>
      </c>
      <c r="I9" s="4">
        <v>1.0</v>
      </c>
      <c r="J9" t="s">
        <v>163</v>
      </c>
      <c r="K9" t="s">
        <v>149</v>
      </c>
      <c r="L9"/>
    </row>
    <row r="10" spans="1:36">
      <c r="A10" s="3">
        <v>9</v>
      </c>
      <c r="B10" t="s">
        <v>169</v>
      </c>
      <c r="C10" s="3" t="s">
        <v>170</v>
      </c>
      <c r="D10" s="20">
        <v>45155.0</v>
      </c>
      <c r="E10" t="s">
        <v>171</v>
      </c>
      <c r="F10" s="3" t="s">
        <v>69</v>
      </c>
      <c r="G10" t="s">
        <v>70</v>
      </c>
      <c r="H10" s="3" t="s">
        <v>143</v>
      </c>
      <c r="I10" s="4">
        <v>1.0</v>
      </c>
      <c r="J10" t="s">
        <v>163</v>
      </c>
      <c r="K10" t="s">
        <v>149</v>
      </c>
      <c r="L10" t="s">
        <v>172</v>
      </c>
    </row>
    <row r="11" spans="1:36">
      <c r="A11" s="3">
        <v>10</v>
      </c>
      <c r="B11" t="s">
        <v>140</v>
      </c>
      <c r="C11" s="3" t="s">
        <v>173</v>
      </c>
      <c r="D11" s="20">
        <v>45246.0</v>
      </c>
      <c r="E11" t="s">
        <v>174</v>
      </c>
      <c r="F11" s="3" t="s">
        <v>69</v>
      </c>
      <c r="G11" t="s">
        <v>70</v>
      </c>
      <c r="H11" s="3" t="s">
        <v>143</v>
      </c>
      <c r="I11" s="4">
        <v>1.0</v>
      </c>
      <c r="J11" t="s">
        <v>163</v>
      </c>
      <c r="K11" t="s">
        <v>145</v>
      </c>
      <c r="L11" t="s">
        <v>175</v>
      </c>
    </row>
    <row r="12" spans="1:36">
      <c r="A12" s="3">
        <v>11</v>
      </c>
      <c r="B12" t="s">
        <v>140</v>
      </c>
      <c r="C12" s="3" t="s">
        <v>176</v>
      </c>
      <c r="D12" s="20">
        <v>45268.0</v>
      </c>
      <c r="E12" t="s">
        <v>177</v>
      </c>
      <c r="F12" s="3" t="s">
        <v>69</v>
      </c>
      <c r="G12" t="s">
        <v>70</v>
      </c>
      <c r="H12" s="3" t="s">
        <v>143</v>
      </c>
      <c r="I12" s="4">
        <v>1.0</v>
      </c>
      <c r="J12" t="s">
        <v>163</v>
      </c>
      <c r="K12" t="s">
        <v>145</v>
      </c>
      <c r="L12" t="s">
        <v>153</v>
      </c>
    </row>
    <row r="13" spans="1:36">
      <c r="A13" s="3">
        <v>12</v>
      </c>
      <c r="B13" t="s">
        <v>140</v>
      </c>
      <c r="C13" s="3" t="s">
        <v>178</v>
      </c>
      <c r="D13" s="20">
        <v>45287.0</v>
      </c>
      <c r="E13" t="s">
        <v>174</v>
      </c>
      <c r="F13" s="3" t="s">
        <v>69</v>
      </c>
      <c r="G13" t="s">
        <v>70</v>
      </c>
      <c r="H13" s="3" t="s">
        <v>143</v>
      </c>
      <c r="I13" s="4">
        <v>1.0</v>
      </c>
      <c r="J13" t="s">
        <v>163</v>
      </c>
      <c r="K13" t="s">
        <v>145</v>
      </c>
      <c r="L13" t="s">
        <v>175</v>
      </c>
    </row>
    <row r="14" spans="1:36">
      <c r="A14" s="3">
        <v>13</v>
      </c>
      <c r="B14" t="s">
        <v>169</v>
      </c>
      <c r="C14" s="3" t="s">
        <v>179</v>
      </c>
      <c r="D14" s="20">
        <v>45061.0</v>
      </c>
      <c r="E14" t="s">
        <v>180</v>
      </c>
      <c r="F14" s="3" t="s">
        <v>79</v>
      </c>
      <c r="G14" t="s">
        <v>80</v>
      </c>
      <c r="H14" s="3" t="s">
        <v>143</v>
      </c>
      <c r="I14" s="4">
        <v>1.0</v>
      </c>
      <c r="J14" t="s">
        <v>163</v>
      </c>
      <c r="K14" t="s">
        <v>149</v>
      </c>
      <c r="L14" t="s">
        <v>153</v>
      </c>
    </row>
    <row r="15" spans="1:36">
      <c r="A15" s="3">
        <v>14</v>
      </c>
      <c r="B15" t="s">
        <v>140</v>
      </c>
      <c r="C15" s="3" t="s">
        <v>181</v>
      </c>
      <c r="D15" s="20">
        <v>44977.0</v>
      </c>
      <c r="E15" t="s">
        <v>155</v>
      </c>
      <c r="F15" s="3" t="s">
        <v>114</v>
      </c>
      <c r="G15" t="s">
        <v>115</v>
      </c>
      <c r="H15" s="3" t="s">
        <v>143</v>
      </c>
      <c r="I15" s="4">
        <v>2.0</v>
      </c>
      <c r="J15" t="s">
        <v>182</v>
      </c>
      <c r="K15" t="s">
        <v>145</v>
      </c>
      <c r="L15" t="s">
        <v>183</v>
      </c>
    </row>
    <row r="16" spans="1:36">
      <c r="A16" s="3">
        <v>15</v>
      </c>
      <c r="B16" t="s">
        <v>184</v>
      </c>
      <c r="C16" s="3" t="s">
        <v>185</v>
      </c>
      <c r="D16" s="20">
        <v>45110.0</v>
      </c>
      <c r="E16" t="s">
        <v>186</v>
      </c>
      <c r="F16" s="3" t="s">
        <v>114</v>
      </c>
      <c r="G16" t="s">
        <v>115</v>
      </c>
      <c r="H16" s="3" t="s">
        <v>143</v>
      </c>
      <c r="I16" s="4">
        <v>1.0</v>
      </c>
      <c r="J16" t="s">
        <v>182</v>
      </c>
      <c r="K16" t="s">
        <v>149</v>
      </c>
      <c r="L16" t="s">
        <v>187</v>
      </c>
    </row>
    <row r="17" spans="1:36">
      <c r="A17" s="3">
        <v>16</v>
      </c>
      <c r="B17" t="s">
        <v>169</v>
      </c>
      <c r="C17" s="3" t="s">
        <v>188</v>
      </c>
      <c r="D17" s="20">
        <v>44974.0</v>
      </c>
      <c r="E17" t="s">
        <v>189</v>
      </c>
      <c r="F17" s="3" t="s">
        <v>57</v>
      </c>
      <c r="G17" t="s">
        <v>58</v>
      </c>
      <c r="H17" s="3" t="s">
        <v>143</v>
      </c>
      <c r="I17" s="4">
        <v>1.0</v>
      </c>
      <c r="J17" t="s">
        <v>182</v>
      </c>
      <c r="K17" t="s">
        <v>149</v>
      </c>
      <c r="L17" t="s">
        <v>190</v>
      </c>
    </row>
    <row r="18" spans="1:36">
      <c r="A18" s="3">
        <v>17</v>
      </c>
      <c r="B18" t="s">
        <v>165</v>
      </c>
      <c r="C18" s="3" t="s">
        <v>191</v>
      </c>
      <c r="D18" s="20">
        <v>45051.0</v>
      </c>
      <c r="E18" t="s">
        <v>192</v>
      </c>
      <c r="F18" s="3" t="s">
        <v>57</v>
      </c>
      <c r="G18" t="s">
        <v>58</v>
      </c>
      <c r="H18" s="3" t="s">
        <v>143</v>
      </c>
      <c r="I18" s="4">
        <v>1.0</v>
      </c>
      <c r="J18" t="s">
        <v>182</v>
      </c>
      <c r="K18" t="s">
        <v>149</v>
      </c>
      <c r="L18" t="s">
        <v>193</v>
      </c>
    </row>
    <row r="19" spans="1:36">
      <c r="A19" s="3">
        <v>18</v>
      </c>
      <c r="B19" t="s">
        <v>165</v>
      </c>
      <c r="C19" s="3" t="s">
        <v>194</v>
      </c>
      <c r="D19" s="20">
        <v>45174.0</v>
      </c>
      <c r="E19" t="s">
        <v>195</v>
      </c>
      <c r="F19" s="3" t="s">
        <v>57</v>
      </c>
      <c r="G19" t="s">
        <v>58</v>
      </c>
      <c r="H19" s="3" t="s">
        <v>143</v>
      </c>
      <c r="I19" s="4">
        <v>1.0</v>
      </c>
      <c r="J19" t="s">
        <v>182</v>
      </c>
      <c r="K19" t="s">
        <v>145</v>
      </c>
      <c r="L19" t="s">
        <v>196</v>
      </c>
    </row>
    <row r="20" spans="1:36">
      <c r="A20" s="3">
        <v>19</v>
      </c>
      <c r="B20" t="s">
        <v>169</v>
      </c>
      <c r="C20" s="3" t="s">
        <v>197</v>
      </c>
      <c r="D20" s="20">
        <v>45243.0</v>
      </c>
      <c r="E20" t="s">
        <v>198</v>
      </c>
      <c r="F20" s="3" t="s">
        <v>57</v>
      </c>
      <c r="G20" t="s">
        <v>58</v>
      </c>
      <c r="H20" s="3" t="s">
        <v>143</v>
      </c>
      <c r="I20" s="4">
        <v>1.0</v>
      </c>
      <c r="J20" t="s">
        <v>199</v>
      </c>
      <c r="K20" t="s">
        <v>149</v>
      </c>
      <c r="L20" t="s">
        <v>200</v>
      </c>
    </row>
    <row r="21" spans="1:36">
      <c r="A21" s="3">
        <v>20</v>
      </c>
      <c r="B21" t="s">
        <v>169</v>
      </c>
      <c r="C21" s="3" t="s">
        <v>201</v>
      </c>
      <c r="D21" s="20">
        <v>45259.0</v>
      </c>
      <c r="E21" t="s">
        <v>202</v>
      </c>
      <c r="F21" s="3" t="s">
        <v>57</v>
      </c>
      <c r="G21" t="s">
        <v>58</v>
      </c>
      <c r="H21" s="3" t="s">
        <v>143</v>
      </c>
      <c r="I21" s="4">
        <v>2.0</v>
      </c>
      <c r="J21" t="s">
        <v>199</v>
      </c>
      <c r="K21" t="s">
        <v>149</v>
      </c>
      <c r="L21" t="s">
        <v>203</v>
      </c>
    </row>
    <row r="22" spans="1:36">
      <c r="A22" s="3">
        <v>21</v>
      </c>
      <c r="B22" t="s">
        <v>169</v>
      </c>
      <c r="C22" s="3" t="s">
        <v>204</v>
      </c>
      <c r="D22" s="20">
        <v>45267.0</v>
      </c>
      <c r="E22" t="s">
        <v>205</v>
      </c>
      <c r="F22" s="3" t="s">
        <v>57</v>
      </c>
      <c r="G22" t="s">
        <v>58</v>
      </c>
      <c r="H22" s="3" t="s">
        <v>143</v>
      </c>
      <c r="I22" s="4">
        <v>1.0</v>
      </c>
      <c r="J22" t="s">
        <v>199</v>
      </c>
      <c r="K22" t="s">
        <v>149</v>
      </c>
      <c r="L22" t="s">
        <v>206</v>
      </c>
    </row>
    <row r="23" spans="1:36">
      <c r="A23" s="3">
        <v>22</v>
      </c>
      <c r="B23" t="s">
        <v>169</v>
      </c>
      <c r="C23" s="3" t="s">
        <v>207</v>
      </c>
      <c r="D23" s="20">
        <v>45272.0</v>
      </c>
      <c r="E23" t="s">
        <v>208</v>
      </c>
      <c r="F23" s="3" t="s">
        <v>57</v>
      </c>
      <c r="G23" t="s">
        <v>58</v>
      </c>
      <c r="H23" s="3" t="s">
        <v>143</v>
      </c>
      <c r="I23" s="4">
        <v>1.0</v>
      </c>
      <c r="J23" t="s">
        <v>199</v>
      </c>
      <c r="K23" t="s">
        <v>149</v>
      </c>
      <c r="L23" t="s">
        <v>175</v>
      </c>
    </row>
    <row r="24" spans="1:36">
      <c r="A24" s="3">
        <v>23</v>
      </c>
      <c r="B24" t="s">
        <v>169</v>
      </c>
      <c r="C24" s="3" t="s">
        <v>209</v>
      </c>
      <c r="D24" s="20">
        <v>45299.0</v>
      </c>
      <c r="E24" t="s">
        <v>210</v>
      </c>
      <c r="F24" s="3" t="s">
        <v>57</v>
      </c>
      <c r="G24" t="s">
        <v>58</v>
      </c>
      <c r="H24" s="3" t="s">
        <v>143</v>
      </c>
      <c r="I24" s="4">
        <v>1.0</v>
      </c>
      <c r="J24" t="s">
        <v>199</v>
      </c>
      <c r="K24" t="s">
        <v>149</v>
      </c>
      <c r="L24" t="s">
        <v>211</v>
      </c>
    </row>
    <row r="25" spans="1:36">
      <c r="A25" s="3">
        <v>24</v>
      </c>
      <c r="B25" t="s">
        <v>169</v>
      </c>
      <c r="C25" s="3" t="s">
        <v>212</v>
      </c>
      <c r="D25" s="20">
        <v>45143.0</v>
      </c>
      <c r="E25" t="s">
        <v>213</v>
      </c>
      <c r="F25" s="3" t="s">
        <v>117</v>
      </c>
      <c r="G25" t="s">
        <v>118</v>
      </c>
      <c r="H25" s="3" t="s">
        <v>143</v>
      </c>
      <c r="I25" s="4">
        <v>1.0</v>
      </c>
      <c r="J25" t="s">
        <v>214</v>
      </c>
      <c r="K25" t="s">
        <v>145</v>
      </c>
      <c r="L25" t="s">
        <v>215</v>
      </c>
    </row>
    <row r="26" spans="1:36">
      <c r="A26" s="3">
        <v>25</v>
      </c>
      <c r="B26" t="s">
        <v>169</v>
      </c>
      <c r="C26" s="3" t="s">
        <v>216</v>
      </c>
      <c r="D26" s="20">
        <v>45155.0</v>
      </c>
      <c r="E26" t="s">
        <v>189</v>
      </c>
      <c r="F26" s="3" t="s">
        <v>119</v>
      </c>
      <c r="G26" t="s">
        <v>120</v>
      </c>
      <c r="H26" s="3" t="s">
        <v>143</v>
      </c>
      <c r="I26" s="4">
        <v>1.0</v>
      </c>
      <c r="J26" t="s">
        <v>182</v>
      </c>
      <c r="K26" t="s">
        <v>149</v>
      </c>
      <c r="L26" t="s">
        <v>217</v>
      </c>
    </row>
    <row r="27" spans="1:36">
      <c r="A27" s="3">
        <v>26</v>
      </c>
      <c r="B27" t="s">
        <v>169</v>
      </c>
      <c r="C27" s="3" t="s">
        <v>218</v>
      </c>
      <c r="D27" s="20">
        <v>45163.0</v>
      </c>
      <c r="E27" t="s">
        <v>171</v>
      </c>
      <c r="F27" s="3" t="s">
        <v>54</v>
      </c>
      <c r="G27" t="s">
        <v>55</v>
      </c>
      <c r="H27" s="3" t="s">
        <v>143</v>
      </c>
      <c r="I27" s="4">
        <v>1.0</v>
      </c>
      <c r="J27" t="s">
        <v>144</v>
      </c>
      <c r="K27" t="s">
        <v>149</v>
      </c>
      <c r="L27" t="s">
        <v>219</v>
      </c>
    </row>
    <row r="28" spans="1:36">
      <c r="A28" s="3">
        <v>27</v>
      </c>
      <c r="B28" t="s">
        <v>140</v>
      </c>
      <c r="C28" s="3" t="s">
        <v>220</v>
      </c>
      <c r="D28" s="20">
        <v>45300.0</v>
      </c>
      <c r="E28" t="s">
        <v>174</v>
      </c>
      <c r="F28" s="3" t="s">
        <v>54</v>
      </c>
      <c r="G28" t="s">
        <v>55</v>
      </c>
      <c r="H28" s="3" t="s">
        <v>143</v>
      </c>
      <c r="I28" s="4">
        <v>1.0</v>
      </c>
      <c r="J28" t="s">
        <v>144</v>
      </c>
      <c r="K28" t="s">
        <v>145</v>
      </c>
      <c r="L28" t="s">
        <v>221</v>
      </c>
    </row>
    <row r="29" spans="1:36">
      <c r="A29" s="3">
        <v>28</v>
      </c>
      <c r="B29" t="s">
        <v>165</v>
      </c>
      <c r="C29" s="3" t="s">
        <v>168</v>
      </c>
      <c r="D29" s="20">
        <v>45086.0</v>
      </c>
      <c r="E29" t="s">
        <v>167</v>
      </c>
      <c r="F29" s="3" t="s">
        <v>43</v>
      </c>
      <c r="G29" t="s">
        <v>44</v>
      </c>
      <c r="H29" s="3" t="s">
        <v>143</v>
      </c>
      <c r="I29" s="4">
        <v>1.0</v>
      </c>
      <c r="J29" t="s">
        <v>144</v>
      </c>
      <c r="K29" t="s">
        <v>149</v>
      </c>
      <c r="L29"/>
    </row>
    <row r="30" spans="1:36">
      <c r="A30" s="3">
        <v>29</v>
      </c>
      <c r="B30" t="s">
        <v>140</v>
      </c>
      <c r="C30" s="3" t="s">
        <v>222</v>
      </c>
      <c r="D30" s="20">
        <v>45163.0</v>
      </c>
      <c r="E30" t="s">
        <v>223</v>
      </c>
      <c r="F30" s="3" t="s">
        <v>43</v>
      </c>
      <c r="G30" t="s">
        <v>44</v>
      </c>
      <c r="H30" s="3" t="s">
        <v>143</v>
      </c>
      <c r="I30" s="4">
        <v>1.0</v>
      </c>
      <c r="J30" t="s">
        <v>144</v>
      </c>
      <c r="K30" t="s">
        <v>145</v>
      </c>
      <c r="L30" t="s">
        <v>224</v>
      </c>
    </row>
    <row r="31" spans="1:36">
      <c r="A31" s="3">
        <v>30</v>
      </c>
      <c r="B31" t="s">
        <v>140</v>
      </c>
      <c r="C31" s="3" t="s">
        <v>225</v>
      </c>
      <c r="D31" s="20">
        <v>45230.0</v>
      </c>
      <c r="E31" t="s">
        <v>174</v>
      </c>
      <c r="F31" s="3" t="s">
        <v>43</v>
      </c>
      <c r="G31" t="s">
        <v>44</v>
      </c>
      <c r="H31" s="3" t="s">
        <v>143</v>
      </c>
      <c r="I31" s="4">
        <v>2.0</v>
      </c>
      <c r="J31" t="s">
        <v>144</v>
      </c>
      <c r="K31" t="s">
        <v>145</v>
      </c>
      <c r="L31" t="s">
        <v>153</v>
      </c>
    </row>
    <row r="32" spans="1:36">
      <c r="A32" s="3">
        <v>31</v>
      </c>
      <c r="B32" t="s">
        <v>140</v>
      </c>
      <c r="C32" s="3" t="s">
        <v>226</v>
      </c>
      <c r="D32" s="20">
        <v>45251.0</v>
      </c>
      <c r="E32" t="s">
        <v>174</v>
      </c>
      <c r="F32" s="3" t="s">
        <v>59</v>
      </c>
      <c r="G32" t="s">
        <v>60</v>
      </c>
      <c r="H32" s="3" t="s">
        <v>143</v>
      </c>
      <c r="I32" s="4">
        <v>1.0</v>
      </c>
      <c r="J32" t="s">
        <v>214</v>
      </c>
      <c r="K32" t="s">
        <v>145</v>
      </c>
      <c r="L32" t="s">
        <v>227</v>
      </c>
    </row>
    <row r="33" spans="1:36">
      <c r="A33" s="3">
        <v>32</v>
      </c>
      <c r="B33" t="s">
        <v>140</v>
      </c>
      <c r="C33" s="3" t="s">
        <v>228</v>
      </c>
      <c r="D33" s="20">
        <v>45275.0</v>
      </c>
      <c r="E33" t="s">
        <v>174</v>
      </c>
      <c r="F33" s="3" t="s">
        <v>59</v>
      </c>
      <c r="G33" t="s">
        <v>60</v>
      </c>
      <c r="H33" s="3" t="s">
        <v>143</v>
      </c>
      <c r="I33" s="4">
        <v>1.0</v>
      </c>
      <c r="J33" t="s">
        <v>214</v>
      </c>
      <c r="K33" t="s">
        <v>145</v>
      </c>
      <c r="L33" t="s">
        <v>229</v>
      </c>
    </row>
    <row r="34" spans="1:36">
      <c r="A34" s="3">
        <v>33</v>
      </c>
      <c r="B34" t="s">
        <v>140</v>
      </c>
      <c r="C34" s="3" t="s">
        <v>230</v>
      </c>
      <c r="D34" s="20">
        <v>45287.0</v>
      </c>
      <c r="E34" t="s">
        <v>174</v>
      </c>
      <c r="F34" s="3" t="s">
        <v>59</v>
      </c>
      <c r="G34" t="s">
        <v>60</v>
      </c>
      <c r="H34" s="3" t="s">
        <v>143</v>
      </c>
      <c r="I34" s="4">
        <v>1.0</v>
      </c>
      <c r="J34" t="s">
        <v>214</v>
      </c>
      <c r="K34" t="s">
        <v>145</v>
      </c>
      <c r="L34" t="s">
        <v>175</v>
      </c>
    </row>
    <row r="35" spans="1:36">
      <c r="A35" s="3">
        <v>34</v>
      </c>
      <c r="B35" t="s">
        <v>169</v>
      </c>
      <c r="C35" s="3" t="s">
        <v>231</v>
      </c>
      <c r="D35" s="20">
        <v>44975.0</v>
      </c>
      <c r="E35" t="s">
        <v>232</v>
      </c>
      <c r="F35" s="3" t="s">
        <v>75</v>
      </c>
      <c r="G35" t="s">
        <v>76</v>
      </c>
      <c r="H35" s="3" t="s">
        <v>143</v>
      </c>
      <c r="I35" s="4">
        <v>1.0</v>
      </c>
      <c r="J35" t="s">
        <v>214</v>
      </c>
      <c r="K35" t="s">
        <v>145</v>
      </c>
      <c r="L35" t="s">
        <v>175</v>
      </c>
    </row>
    <row r="36" spans="1:36">
      <c r="A36" s="3">
        <v>35</v>
      </c>
      <c r="B36" t="s">
        <v>169</v>
      </c>
      <c r="C36" s="3" t="s">
        <v>233</v>
      </c>
      <c r="D36" s="20">
        <v>45005.0</v>
      </c>
      <c r="E36" t="s">
        <v>180</v>
      </c>
      <c r="F36" s="3" t="s">
        <v>75</v>
      </c>
      <c r="G36" t="s">
        <v>76</v>
      </c>
      <c r="H36" s="3" t="s">
        <v>143</v>
      </c>
      <c r="I36" s="4">
        <v>1.0</v>
      </c>
      <c r="J36" t="s">
        <v>214</v>
      </c>
      <c r="K36" t="s">
        <v>149</v>
      </c>
      <c r="L36" t="s">
        <v>234</v>
      </c>
    </row>
    <row r="37" spans="1:36">
      <c r="A37" s="3">
        <v>36</v>
      </c>
      <c r="B37" t="s">
        <v>169</v>
      </c>
      <c r="C37" s="3" t="s">
        <v>235</v>
      </c>
      <c r="D37" s="20">
        <v>45079.0</v>
      </c>
      <c r="E37" t="s">
        <v>236</v>
      </c>
      <c r="F37" s="3" t="s">
        <v>75</v>
      </c>
      <c r="G37" t="s">
        <v>76</v>
      </c>
      <c r="H37" s="3" t="s">
        <v>143</v>
      </c>
      <c r="I37" s="4">
        <v>2.0</v>
      </c>
      <c r="J37" t="s">
        <v>214</v>
      </c>
      <c r="K37" t="s">
        <v>145</v>
      </c>
      <c r="L37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2024-01-10T10:14:11+07:00</dcterms:created>
  <dcterms:modified xsi:type="dcterms:W3CDTF">2024-01-10T10:14:11+07:00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