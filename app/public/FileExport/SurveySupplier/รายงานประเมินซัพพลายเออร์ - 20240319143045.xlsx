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<sst xmlns="http://schemas.openxmlformats.org/spreadsheetml/2006/main" uniqueCount="239">
  <si>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</si>
  <si>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</si>
  <si>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</si>
  <si>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</si>
  <si>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</si>
  <si>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</si>
  <si>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</si>
  <si>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</si>
  <si>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</si>
  <si>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</si>
  <si>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</si>
  <si>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</si>
  <si>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</si>
  <si>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</si>
  <si>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</si>
  <si>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19/03/2024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</si>
  <si>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</si>
  <si>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</si>
  <si>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</si>
  <si>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</si>
  <si>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</si>
  <si>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</si>
  <si>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</si>
  <si>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</si>
  <si>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</si>
  <si>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</si>
  <si>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</si>
  <si>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</si>
  <si>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</si>
  <si>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</si>
  <si>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</si>
  <si>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</si>
  <si>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</si>
  <si>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</si>
  <si>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</si>
  <si>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</si>
  <si>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</si>
  <si>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</si>
  <si>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</si>
  <si>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</si>
  <si>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</si>
  <si>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</si>
  <si>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</si>
  <si>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40-003-010</t>
  </si>
  <si>
    <t>เครื่องผสมปูน EUROX JY-CM200+มอเตอร์ 1.5HP</t>
  </si>
  <si>
    <t>D24</t>
  </si>
  <si>
    <t>08-001-040</t>
  </si>
  <si>
    <t>เครื่องจี้ปูน EU 35mm x พร้อมสายจี้ปูน 1.5m.</t>
  </si>
  <si>
    <t>R</t>
  </si>
  <si>
    <t>DEAD</t>
  </si>
  <si>
    <t>34-107-010</t>
  </si>
  <si>
    <t>เลื่อยโซ่ยนต์ EUROX CS5800CP</t>
  </si>
  <si>
    <t>A</t>
  </si>
  <si>
    <t>08-001-020</t>
  </si>
  <si>
    <t>เครื่องจี้ปูน EU 28mm x พร้อมสายจี้ปูน 1.5m.</t>
  </si>
  <si>
    <t>08-001-050</t>
  </si>
  <si>
    <t>สายจี้ปูน EU 35mm x 1.5m.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</si>
  <si>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</si>
  <si>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</si>
  <si>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</si>
  <si>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</si>
  <si>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36-531-020</t>
  </si>
  <si>
    <t>ใบตัดสแตนเลส 4" EUROX (1.2มม.)</t>
  </si>
  <si>
    <t>92-667-012</t>
  </si>
  <si>
    <t>เลเซอร์วัดระดับ EUROX 16เส้น GL-16A</t>
  </si>
  <si>
    <t>08-001-030</t>
  </si>
  <si>
    <t>สายจี้ปูน EU 28mm x 1.5m.</t>
  </si>
  <si>
    <t>36-530-010</t>
  </si>
  <si>
    <t>ใบเจียรหนา 4" EUROX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</si>
  <si>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</si>
  <si>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</si>
  <si>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</si>
  <si>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</si>
  <si>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06-504-201</t>
  </si>
  <si>
    <t>มอเตอร์เครื่องสีข้าว MARK III</t>
  </si>
  <si>
    <t>M</t>
  </si>
  <si>
    <t>34-100-010</t>
  </si>
  <si>
    <t>เครื่องตัดหญ้าไร้สาย EUROX 12V.</t>
  </si>
  <si>
    <t>D22</t>
  </si>
  <si>
    <t>34-201-001</t>
  </si>
  <si>
    <t>เจียร์ไร้สายพร้อมบาร์โซ่ EUROX 21V (Slimbody) กล่องชุด</t>
  </si>
  <si>
    <t>W</t>
  </si>
  <si>
    <t>36-531-031</t>
  </si>
  <si>
    <t>ใบตัดเหล็ก 14" EUROX PRO (สีเขียวคมพิเศษ)</t>
  </si>
  <si>
    <t>40-002-010</t>
  </si>
  <si>
    <t>เครื่องบดอัดดิน EUROX HZR-80-A</t>
  </si>
  <si>
    <t>D21</t>
  </si>
  <si>
    <t>40-002-011</t>
  </si>
  <si>
    <t>เครื่องบดอัดดิน EUROX HZR-90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</si>
  <si>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</si>
  <si>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</si>
  <si>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</si>
  <si>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</si>
  <si>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</si>
  <si>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</si>
  <si>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</si>
  <si>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</si>
  <si>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</si>
  <si>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</si>
  <si>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</si>
  <si>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RN-66022062</t>
  </si>
  <si>
    <t>M-00216 - ดูโฮม - บางบัวทอง (สาขาที่7)</t>
  </si>
  <si>
    <t>WP4</t>
  </si>
  <si>
    <t>PCS</t>
  </si>
  <si>
    <t>สินค้าชำรุดสภาพดี AX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</si>
  <si>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</si>
  <si>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</si>
  <si>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</si>
  <si>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</si>
  <si>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ตัว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</si>
  <si>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</si>
  <si>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</si>
  <si>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</si>
  <si>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</si>
  <si>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</si>
  <si>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</si>
  <si>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</si>
  <si>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</si>
  <si>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</si>
  <si>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</si>
  <si>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</si>
  <si>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ฝ่ายขายร้านค้า ตจว.</t>
  </si>
  <si>
    <t>PE-67021017</t>
  </si>
  <si>
    <t>C-04306 - โชควัฒนา โฮมเซ็นเตอร์(SM TT PC)</t>
  </si>
  <si>
    <t>ชำรุดจากโรงงาน</t>
  </si>
  <si>
    <t>เปิดเครื่องไม่ติด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</si>
  <si>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</si>
  <si>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</si>
  <si>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</si>
  <si>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</si>
  <si>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</si>
  <si>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RN-67012037</t>
  </si>
  <si>
    <t>M-00283 - ดูโฮม - บางนาตราด (สาขาที่ 10)</t>
  </si>
  <si>
    <t>ปลั๊กเทสไม่ติด (เสีย)</t>
  </si>
  <si>
    <t>RN-66112023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</si>
  <si>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</si>
  <si>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</si>
  <si>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</si>
  <si>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</si>
  <si>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ชุด</t>
  </si>
  <si>
    <t>ข้อต่อใส่กลับด้านมา ทำให้ต่อไม่ได้</t>
  </si>
  <si>
    <t>RN-66012004</t>
  </si>
  <si>
    <t>M-00047 - โฮมฮับ-ขอนแก่น (สาขา 00003)</t>
  </si>
  <si>
    <t>ไม่มีแบต, ชุดใบตัด และบังใบแตก</t>
  </si>
  <si>
    <t>ฝ่ายขายร้านค้า กทม.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</si>
  <si>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</si>
  <si>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</si>
  <si>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</si>
  <si>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</si>
  <si>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</si>
  <si>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</si>
  <si>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</si>
  <si>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</si>
  <si>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</si>
  <si>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</si>
  <si>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C-12309 - พี.โอ.วัสดุก่อสร้าง 1997(SM PC)</t>
  </si>
  <si>
    <t>มีน้ำมันรั่วใต้เครื่องซีนไม่ดี</t>
  </si>
  <si>
    <t>PE-66121018</t>
  </si>
  <si>
    <t>WP5</t>
  </si>
  <si>
    <t>ข้อต่อยุบเข้าไปในตัวเครื่อง</t>
  </si>
  <si>
    <t>RN-67012026</t>
  </si>
  <si>
    <t>C-09539 - ส.ทวีสิน</t>
  </si>
  <si>
    <t>เซลล์แจ้งผิด</t>
  </si>
  <si>
    <t>สตาร์ทไม่ติด</t>
  </si>
  <si>
    <t>PE-67011009</t>
  </si>
  <si>
    <t>C-00887 - พลพลพาณิชย์</t>
  </si>
  <si>
    <t>บอดี้แตกหัก-ยังไม่หลุด</t>
  </si>
  <si>
    <t>RN-67022049</t>
  </si>
  <si>
    <t>C-11239 - อัศจรรย์</t>
  </si>
  <si>
    <t>Body แตกตรงถังน้ำมัน</t>
  </si>
  <si>
    <t>PN-67034012</t>
  </si>
  <si>
    <t>M-00261 - เอี่ยมเส็ง 2003(SM TT  PC)</t>
  </si>
  <si>
    <t>bodyแตกร้าว/น้ำมันรั่ง</t>
  </si>
  <si>
    <t>RN-66022063</t>
  </si>
  <si>
    <t>M-00363 - ดูโฮม - มาบตาพุด</t>
  </si>
  <si>
    <t>มอเตอร์ไม่ทำงาน</t>
  </si>
  <si>
    <t>RN-66022091</t>
  </si>
  <si>
    <t>เครื่องเปิดใช้งานแล้วติดๆ ดับๆ</t>
  </si>
  <si>
    <t>RN-66022117</t>
  </si>
  <si>
    <t>M-00043 - ดูโฮม-โคราช (สาขาที่2)</t>
  </si>
  <si>
    <t>เครื่องไม่ติด</t>
  </si>
  <si>
    <t>RN-66062094</t>
  </si>
  <si>
    <t>แท่นชาร์จเสียและแบตเสื่อม</t>
  </si>
  <si>
    <t>PN-66084044</t>
  </si>
  <si>
    <t>ไม่มีแบต</t>
  </si>
  <si>
    <t>PN-66104004</t>
  </si>
  <si>
    <t>แบตชาร์จไฟไม่เข้าแบตเสื่อม</t>
  </si>
  <si>
    <t>RN-66102127</t>
  </si>
  <si>
    <t>M-00429 - ดูโฮม - พิษณุโลก(สาขาที่00033)</t>
  </si>
  <si>
    <t>แบตเสื่อมและเครื่องไม่ติด</t>
  </si>
  <si>
    <t>RN-66102128</t>
  </si>
  <si>
    <t>M-00378 - ดูโฮม-แหลมฉบัง</t>
  </si>
  <si>
    <t>มอเตอร์เสีย (แบตชาร์จเข้า)</t>
  </si>
  <si>
    <t>RN-66102129</t>
  </si>
  <si>
    <t>M-00197 - ดูโฮม - พระราม 2 (สาขาที่6)</t>
  </si>
  <si>
    <t>RN-66112089</t>
  </si>
  <si>
    <t>เสียงดังผิดปกติ</t>
  </si>
  <si>
    <t>PN-67024052</t>
  </si>
  <si>
    <t>แบตเตอรี่เสื่อม</t>
  </si>
  <si>
    <t>PE-67031014</t>
  </si>
  <si>
    <t>C-00157 - ชุมพล โลหะกิจ (8888) จำกัด</t>
  </si>
  <si>
    <t>เปิดเครื่องไม่ติดเสีย</t>
  </si>
  <si>
    <t>RN-66052007</t>
  </si>
  <si>
    <t>C-00726 - อึ้งชุนฮะ (1994)(มือปืน)</t>
  </si>
  <si>
    <t>ใบ</t>
  </si>
  <si>
    <t>ปั๊มแผ่นเหล็กติดมาด้วย</t>
  </si>
  <si>
    <t>RN-66062023</t>
  </si>
  <si>
    <t>ใบแตก</t>
  </si>
  <si>
    <t>PN-67034003</t>
  </si>
  <si>
    <t>ขอบบิ่น</t>
  </si>
  <si>
    <t>PN-66104039</t>
  </si>
  <si>
    <t>ใบตัดบิ่น</t>
  </si>
  <si>
    <t>ฝ่ายขายหน้าร้าน</t>
  </si>
  <si>
    <t>PE-66081008</t>
  </si>
  <si>
    <t>C-11295 - บางบัวทองฮาร์ดแวร์ จำกัด</t>
  </si>
  <si>
    <t>ขาเบียดกับตัวถัง</t>
  </si>
  <si>
    <t>PN-66024008</t>
  </si>
  <si>
    <t>M-00154 - ศิริมหาชัย อุบลราชธานี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</si>
  <si>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</si>
  <si>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</si>
  <si>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</si>
  <si>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</si>
  <si>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</si>
  <si>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</si>
  <si>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</si>
  <si>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</si>
  <si>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ข้อต่อปรับขาหัก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</si>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</sst>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2" sqref="AW2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36.0</v>
      </c>
      <c r="F3" s="5">
        <v>248364.0</v>
      </c>
      <c r="G3" s="4">
        <v>40.0</v>
      </c>
      <c r="H3" s="5">
        <v>290000.0</v>
      </c>
      <c r="I3" s="6">
        <v>0</v>
      </c>
      <c r="J3" s="6">
        <v>0</v>
      </c>
      <c r="K3" s="4">
        <v>40.72726</v>
      </c>
      <c r="L3" s="5">
        <v>295272.635</v>
      </c>
      <c r="M3" s="7">
        <v>0.017856835937404</v>
      </c>
      <c r="N3" s="4">
        <v>30.0</v>
      </c>
      <c r="O3" s="4">
        <v>2.90909</v>
      </c>
      <c r="P3" s="4">
        <v>4.0</v>
      </c>
      <c r="Q3" s="4">
        <v>2.0</v>
      </c>
      <c r="R3" s="4">
        <v>6.0</v>
      </c>
      <c r="S3" s="5">
        <v>43500.0</v>
      </c>
      <c r="T3" s="4">
        <v>5.666666</v>
      </c>
      <c r="U3" s="8">
        <v>1.0588236539793</v>
      </c>
      <c r="V3" s="5">
        <v>202942.999</v>
      </c>
      <c r="W3" s="5">
        <v>6764.7666333333</v>
      </c>
      <c r="X3" s="5">
        <v>246560.924</v>
      </c>
      <c r="Y3" s="5">
        <v>8218.6974666667</v>
      </c>
      <c r="Z3" s="5">
        <v>43617.925</v>
      </c>
      <c r="AA3" s="5">
        <v>1453.9308333333</v>
      </c>
      <c r="AB3" s="9">
        <v>0.17690526257113</v>
      </c>
      <c r="AC3" s="4">
        <v>30.0</v>
      </c>
      <c r="AD3" s="4">
        <v>1.0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27102.8</v>
      </c>
      <c r="AK3" s="5">
        <v>6775.7</v>
      </c>
      <c r="AL3" s="5">
        <v>32523.364</v>
      </c>
      <c r="AM3" s="5">
        <v>8130.841</v>
      </c>
      <c r="AN3" s="5">
        <v>5420.564</v>
      </c>
      <c r="AO3" s="5">
        <v>1355.141</v>
      </c>
      <c r="AP3" s="9">
        <v>0.16666676915709</v>
      </c>
      <c r="AQ3" s="4">
        <v>4.0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150.0</v>
      </c>
      <c r="F4" s="5">
        <v>176550.0</v>
      </c>
      <c r="G4" s="4">
        <v>210.0</v>
      </c>
      <c r="H4" s="5">
        <v>247170.0</v>
      </c>
      <c r="I4" s="4">
        <v>10.0</v>
      </c>
      <c r="J4" s="5">
        <v>11770.0</v>
      </c>
      <c r="K4" s="4">
        <v>212.545452</v>
      </c>
      <c r="L4" s="5">
        <v>250165.997004</v>
      </c>
      <c r="M4" s="7">
        <v>0.011976036071569</v>
      </c>
      <c r="N4" s="4">
        <v>171.0</v>
      </c>
      <c r="O4" s="4">
        <v>15.181818</v>
      </c>
      <c r="P4" s="4">
        <v>54.0</v>
      </c>
      <c r="Q4" s="4">
        <v>22.5</v>
      </c>
      <c r="R4" s="6">
        <v>0</v>
      </c>
      <c r="S4" s="6">
        <v>0</v>
      </c>
      <c r="T4" s="4">
        <v>29.666666</v>
      </c>
      <c r="U4" s="10" t="s">
        <v>49</v>
      </c>
      <c r="V4" s="5">
        <v>188100.0</v>
      </c>
      <c r="W4" s="5">
        <v>1100.0</v>
      </c>
      <c r="X4" s="5">
        <v>270257.703</v>
      </c>
      <c r="Y4" s="5">
        <v>1580.4544035088</v>
      </c>
      <c r="Z4" s="5">
        <v>82157.703</v>
      </c>
      <c r="AA4" s="5">
        <v>480.45440350877</v>
      </c>
      <c r="AB4" s="11">
        <v>0.30399763665571</v>
      </c>
      <c r="AC4" s="4">
        <v>171.0</v>
      </c>
      <c r="AD4" s="4">
        <v>2.0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59400.0</v>
      </c>
      <c r="AK4" s="5">
        <v>1100.0</v>
      </c>
      <c r="AL4" s="5">
        <v>85195.0</v>
      </c>
      <c r="AM4" s="5">
        <v>1577.6851851852</v>
      </c>
      <c r="AN4" s="5">
        <v>25795.0</v>
      </c>
      <c r="AO4" s="5">
        <v>477.68518518519</v>
      </c>
      <c r="AP4" s="11">
        <v>0.30277598450613</v>
      </c>
      <c r="AQ4" s="4">
        <v>54.0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52</v>
      </c>
      <c r="E5" s="6">
        <v>0</v>
      </c>
      <c r="F5" s="6">
        <v>0</v>
      </c>
      <c r="G5" s="4">
        <v>33.0</v>
      </c>
      <c r="H5" s="5">
        <v>51216.0</v>
      </c>
      <c r="I5" s="6">
        <v>0</v>
      </c>
      <c r="J5" s="6">
        <v>0</v>
      </c>
      <c r="K5" s="4">
        <v>2685.454534</v>
      </c>
      <c r="L5" s="5">
        <v>4167825.436768</v>
      </c>
      <c r="M5" s="7">
        <v>0.98771157746959</v>
      </c>
      <c r="N5" s="4">
        <v>2113.0</v>
      </c>
      <c r="O5" s="4">
        <v>191.818181</v>
      </c>
      <c r="P5" s="4">
        <v>563.0</v>
      </c>
      <c r="Q5" s="4">
        <v>223.0</v>
      </c>
      <c r="R5" s="4">
        <v>144.0</v>
      </c>
      <c r="S5" s="5">
        <v>223488.0</v>
      </c>
      <c r="T5" s="4">
        <v>337.0</v>
      </c>
      <c r="U5" s="8">
        <v>0.42729970326409</v>
      </c>
      <c r="V5" s="5">
        <v>3061245.611</v>
      </c>
      <c r="W5" s="5">
        <v>1448.7674448651</v>
      </c>
      <c r="X5" s="5">
        <v>3762214.926</v>
      </c>
      <c r="Y5" s="5">
        <v>1780.5087203029</v>
      </c>
      <c r="Z5" s="5">
        <v>700969.315</v>
      </c>
      <c r="AA5" s="5">
        <v>331.74127543777</v>
      </c>
      <c r="AB5" s="9">
        <v>0.18631825368501</v>
      </c>
      <c r="AC5" s="4">
        <v>2113.0</v>
      </c>
      <c r="AD5" s="4">
        <v>5.0</v>
      </c>
      <c r="AE5" s="4">
        <v>1.0</v>
      </c>
      <c r="AF5" s="6">
        <v>0</v>
      </c>
      <c r="AG5" s="12">
        <v>0.00047326076668244</v>
      </c>
      <c r="AH5" s="4">
        <v>1.0</v>
      </c>
      <c r="AI5" s="5">
        <v>1552.0</v>
      </c>
      <c r="AJ5" s="5">
        <v>816612.956</v>
      </c>
      <c r="AK5" s="5">
        <v>1450.467062167</v>
      </c>
      <c r="AL5" s="5">
        <v>1003306.778</v>
      </c>
      <c r="AM5" s="5">
        <v>1782.0724298401</v>
      </c>
      <c r="AN5" s="5">
        <v>186693.822</v>
      </c>
      <c r="AO5" s="5">
        <v>331.60536767318</v>
      </c>
      <c r="AP5" s="9">
        <v>0.18607850170429</v>
      </c>
      <c r="AQ5" s="4">
        <v>563.0</v>
      </c>
      <c r="AR5" s="4">
        <v>5.0</v>
      </c>
      <c r="AS5" s="6">
        <v>0</v>
      </c>
      <c r="AT5" s="6">
        <v>0</v>
      </c>
      <c r="AU5" s="3">
        <v>0</v>
      </c>
      <c r="AV5" s="4">
        <v>1.0</v>
      </c>
      <c r="AW5" s="5">
        <v>1552.0</v>
      </c>
    </row>
    <row r="6" spans="1:49">
      <c r="A6" s="3">
        <v>4</v>
      </c>
      <c r="B6" s="3" t="s">
        <v>53</v>
      </c>
      <c r="C6" t="s">
        <v>54</v>
      </c>
      <c r="D6" s="3" t="s">
        <v>48</v>
      </c>
      <c r="E6" s="4">
        <v>63.0</v>
      </c>
      <c r="F6" s="5">
        <v>72128.7</v>
      </c>
      <c r="G6" s="4">
        <v>30.0</v>
      </c>
      <c r="H6" s="5">
        <v>34347.0</v>
      </c>
      <c r="I6" s="6">
        <v>0</v>
      </c>
      <c r="J6" s="6">
        <v>0</v>
      </c>
      <c r="K6" s="4">
        <v>43.272726</v>
      </c>
      <c r="L6" s="5">
        <v>49542.943997</v>
      </c>
      <c r="M6" s="7">
        <v>0.30672266868512</v>
      </c>
      <c r="N6" s="4">
        <v>34.0</v>
      </c>
      <c r="O6" s="4">
        <v>3.090909</v>
      </c>
      <c r="P6" s="6">
        <v>0</v>
      </c>
      <c r="Q6" s="6">
        <v>0</v>
      </c>
      <c r="R6" s="6">
        <v>0</v>
      </c>
      <c r="S6" s="6">
        <v>0</v>
      </c>
      <c r="T6" s="4">
        <v>5.0</v>
      </c>
      <c r="U6" s="10" t="s">
        <v>49</v>
      </c>
      <c r="V6" s="5">
        <v>36220.0</v>
      </c>
      <c r="W6" s="5">
        <v>1065.2941176471</v>
      </c>
      <c r="X6" s="5">
        <v>53336.442</v>
      </c>
      <c r="Y6" s="5">
        <v>1568.7188823529</v>
      </c>
      <c r="Z6" s="5">
        <v>17116.442</v>
      </c>
      <c r="AA6" s="5">
        <v>503.42476470588</v>
      </c>
      <c r="AB6" s="11">
        <v>0.32091458219129</v>
      </c>
      <c r="AC6" s="4">
        <v>34.0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48</v>
      </c>
      <c r="E7" s="4">
        <v>35.0</v>
      </c>
      <c r="F7" s="5">
        <v>22470.0</v>
      </c>
      <c r="G7" s="4">
        <v>30.0</v>
      </c>
      <c r="H7" s="5">
        <v>19260.0</v>
      </c>
      <c r="I7" s="6">
        <v>0</v>
      </c>
      <c r="J7" s="6">
        <v>0</v>
      </c>
      <c r="K7" s="4">
        <v>26.72726</v>
      </c>
      <c r="L7" s="5">
        <v>17158.90092</v>
      </c>
      <c r="M7" s="13">
        <v>-0.12244951409161</v>
      </c>
      <c r="N7" s="4">
        <v>19.0</v>
      </c>
      <c r="O7" s="4">
        <v>1.90909</v>
      </c>
      <c r="P7" s="6">
        <v>0</v>
      </c>
      <c r="Q7" s="6">
        <v>0</v>
      </c>
      <c r="R7" s="4">
        <v>11.0</v>
      </c>
      <c r="S7" s="5">
        <v>7062.0</v>
      </c>
      <c r="T7" s="4">
        <v>2.833333</v>
      </c>
      <c r="U7" s="8">
        <v>3.8823533979239</v>
      </c>
      <c r="V7" s="5">
        <v>11400.0</v>
      </c>
      <c r="W7" s="5">
        <v>600.0</v>
      </c>
      <c r="X7" s="5">
        <v>14175.158</v>
      </c>
      <c r="Y7" s="5">
        <v>746.06094736842</v>
      </c>
      <c r="Z7" s="5">
        <v>2775.158</v>
      </c>
      <c r="AA7" s="5">
        <v>146.06094736842</v>
      </c>
      <c r="AB7" s="9">
        <v>0.19577615995532</v>
      </c>
      <c r="AC7" s="4">
        <v>19.0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52</v>
      </c>
      <c r="E8" s="6">
        <v>0</v>
      </c>
      <c r="F8" s="6">
        <v>0</v>
      </c>
      <c r="G8" s="4">
        <v>1535.0</v>
      </c>
      <c r="H8" s="5">
        <v>12525.6</v>
      </c>
      <c r="I8" s="6">
        <v>0</v>
      </c>
      <c r="J8" s="6">
        <v>0</v>
      </c>
      <c r="K8" s="4">
        <v>36625.272726</v>
      </c>
      <c r="L8" s="5">
        <v>298862.225444</v>
      </c>
      <c r="M8" s="7">
        <v>0.9580890492889</v>
      </c>
      <c r="N8" s="4">
        <v>30352.0</v>
      </c>
      <c r="O8" s="4">
        <v>2616.090909</v>
      </c>
      <c r="P8" s="4">
        <v>9455.0</v>
      </c>
      <c r="Q8" s="4">
        <v>4165.0</v>
      </c>
      <c r="R8" s="4">
        <v>20450.0</v>
      </c>
      <c r="S8" s="5">
        <v>166872.0</v>
      </c>
      <c r="T8" s="4">
        <v>5684.5</v>
      </c>
      <c r="U8" s="8">
        <v>3.5975019790659</v>
      </c>
      <c r="V8" s="5">
        <v>235387.846</v>
      </c>
      <c r="W8" s="5">
        <v>7.7552664074855</v>
      </c>
      <c r="X8" s="5">
        <v>387402.185</v>
      </c>
      <c r="Y8" s="5">
        <v>12.763646052978</v>
      </c>
      <c r="Z8" s="5">
        <v>152014.339</v>
      </c>
      <c r="AA8" s="5">
        <v>5.0083796454929</v>
      </c>
      <c r="AB8" s="11">
        <v>0.39239411878898</v>
      </c>
      <c r="AC8" s="4">
        <v>30352.0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72103.83</v>
      </c>
      <c r="AK8" s="5">
        <v>7.626</v>
      </c>
      <c r="AL8" s="5">
        <v>114895.145</v>
      </c>
      <c r="AM8" s="5">
        <v>12.151786885246</v>
      </c>
      <c r="AN8" s="5">
        <v>42791.315</v>
      </c>
      <c r="AO8" s="5">
        <v>4.5257868852459</v>
      </c>
      <c r="AP8" s="11">
        <v>0.37243797377165</v>
      </c>
      <c r="AQ8" s="4">
        <v>9455.0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52</v>
      </c>
      <c r="E9" s="6">
        <v>0</v>
      </c>
      <c r="F9" s="6">
        <v>0</v>
      </c>
      <c r="G9" s="4">
        <v>1375.0</v>
      </c>
      <c r="H9" s="5">
        <v>9900.0</v>
      </c>
      <c r="I9" s="6">
        <v>0</v>
      </c>
      <c r="J9" s="6">
        <v>0</v>
      </c>
      <c r="K9" s="4">
        <v>117192.72726</v>
      </c>
      <c r="L9" s="5">
        <v>820349.09082</v>
      </c>
      <c r="M9" s="7">
        <v>0.98826719001983</v>
      </c>
      <c r="N9" s="4">
        <v>92180.0</v>
      </c>
      <c r="O9" s="4">
        <v>8370.90909</v>
      </c>
      <c r="P9" s="4">
        <v>36754.0</v>
      </c>
      <c r="Q9" s="4">
        <v>13402.0</v>
      </c>
      <c r="R9" s="4">
        <v>18767.0</v>
      </c>
      <c r="S9" s="5">
        <v>131369.0</v>
      </c>
      <c r="T9" s="4">
        <v>18669.833333</v>
      </c>
      <c r="U9" s="8">
        <v>1.0052044742589</v>
      </c>
      <c r="V9" s="5">
        <v>608305.359</v>
      </c>
      <c r="W9" s="5">
        <v>6.5991034823172</v>
      </c>
      <c r="X9" s="5">
        <v>1125086.794</v>
      </c>
      <c r="Y9" s="5">
        <v>12.205324300282</v>
      </c>
      <c r="Z9" s="5">
        <v>516781.435</v>
      </c>
      <c r="AA9" s="5">
        <v>5.6062208179649</v>
      </c>
      <c r="AB9" s="11">
        <v>0.45932583846505</v>
      </c>
      <c r="AC9" s="4">
        <v>92180.0</v>
      </c>
      <c r="AD9" s="6">
        <v>0</v>
      </c>
      <c r="AE9" s="6">
        <v>0</v>
      </c>
      <c r="AF9" s="6">
        <v>0</v>
      </c>
      <c r="AG9" s="3">
        <v>0</v>
      </c>
      <c r="AH9" s="4">
        <v>3.0</v>
      </c>
      <c r="AI9" s="5">
        <v>21.0</v>
      </c>
      <c r="AJ9" s="5">
        <v>240444.672</v>
      </c>
      <c r="AK9" s="5">
        <v>6.5420001088317</v>
      </c>
      <c r="AL9" s="5">
        <v>418406.0</v>
      </c>
      <c r="AM9" s="5">
        <v>11.38395820863</v>
      </c>
      <c r="AN9" s="5">
        <v>177961.328</v>
      </c>
      <c r="AO9" s="5">
        <v>4.8419580997987</v>
      </c>
      <c r="AP9" s="11">
        <v>0.42533168262405</v>
      </c>
      <c r="AQ9" s="4">
        <v>36754.0</v>
      </c>
      <c r="AR9" s="4">
        <v>3.0</v>
      </c>
      <c r="AS9" s="6">
        <v>0</v>
      </c>
      <c r="AT9" s="6">
        <v>0</v>
      </c>
      <c r="AU9" s="3">
        <v>0</v>
      </c>
      <c r="AV9" s="4">
        <v>3.0</v>
      </c>
      <c r="AW9" s="5">
        <v>21.0</v>
      </c>
    </row>
    <row r="10" spans="1:49">
      <c r="A10" s="3">
        <v>8</v>
      </c>
      <c r="B10" s="3" t="s">
        <v>61</v>
      </c>
      <c r="C10" t="s">
        <v>62</v>
      </c>
      <c r="D10" s="3" t="s">
        <v>52</v>
      </c>
      <c r="E10" s="4">
        <v>600.0</v>
      </c>
      <c r="F10" s="5">
        <v>4200.0</v>
      </c>
      <c r="G10" s="4">
        <v>700.0</v>
      </c>
      <c r="H10" s="5">
        <v>4900.0</v>
      </c>
      <c r="I10" s="6">
        <v>0</v>
      </c>
      <c r="J10" s="6">
        <v>0</v>
      </c>
      <c r="K10" s="4">
        <v>45134.72726</v>
      </c>
      <c r="L10" s="5">
        <v>315943.09082</v>
      </c>
      <c r="M10" s="7">
        <v>0.98449087781194</v>
      </c>
      <c r="N10" s="4">
        <v>35763.0</v>
      </c>
      <c r="O10" s="4">
        <v>3223.90909</v>
      </c>
      <c r="P10" s="4">
        <v>6750.0</v>
      </c>
      <c r="Q10" s="4">
        <v>2900.0</v>
      </c>
      <c r="R10" s="4">
        <v>13615.0</v>
      </c>
      <c r="S10" s="5">
        <v>95305.0</v>
      </c>
      <c r="T10" s="4">
        <v>5918.833333</v>
      </c>
      <c r="U10" s="8">
        <v>2.3002844030243</v>
      </c>
      <c r="V10" s="5">
        <v>233991.346</v>
      </c>
      <c r="W10" s="5">
        <v>6.5428332634287</v>
      </c>
      <c r="X10" s="5">
        <v>492150.619</v>
      </c>
      <c r="Y10" s="5">
        <v>13.761446718676</v>
      </c>
      <c r="Z10" s="5">
        <v>258159.273</v>
      </c>
      <c r="AA10" s="5">
        <v>7.218613455247</v>
      </c>
      <c r="AB10" s="11">
        <v>0.52455338474338</v>
      </c>
      <c r="AC10" s="4">
        <v>35763.0</v>
      </c>
      <c r="AD10" s="4">
        <v>1.0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44158.5</v>
      </c>
      <c r="AK10" s="5">
        <v>6.542</v>
      </c>
      <c r="AL10" s="5">
        <v>77846.3</v>
      </c>
      <c r="AM10" s="5">
        <v>11.532785185185</v>
      </c>
      <c r="AN10" s="5">
        <v>33687.8</v>
      </c>
      <c r="AO10" s="5">
        <v>4.9907851851852</v>
      </c>
      <c r="AP10" s="11">
        <v>0.43274760650153</v>
      </c>
      <c r="AQ10" s="4">
        <v>6750.0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6">
        <v>0</v>
      </c>
      <c r="F11" s="6">
        <v>0</v>
      </c>
      <c r="G11" s="4">
        <v>2.0</v>
      </c>
      <c r="H11" s="5">
        <v>3478.0</v>
      </c>
      <c r="I11" s="6">
        <v>0</v>
      </c>
      <c r="J11" s="6">
        <v>0</v>
      </c>
      <c r="K11" s="4">
        <v>1067.818178</v>
      </c>
      <c r="L11" s="5">
        <v>1856935.811542</v>
      </c>
      <c r="M11" s="7">
        <v>0.99812702195823</v>
      </c>
      <c r="N11" s="4">
        <v>873.0</v>
      </c>
      <c r="O11" s="4">
        <v>76.272727</v>
      </c>
      <c r="P11" s="4">
        <v>95.0</v>
      </c>
      <c r="Q11" s="4">
        <v>37.5</v>
      </c>
      <c r="R11" s="4">
        <v>35.0</v>
      </c>
      <c r="S11" s="5">
        <v>60865.0</v>
      </c>
      <c r="T11" s="4">
        <v>102.166666</v>
      </c>
      <c r="U11" s="8">
        <v>0.34257749000051</v>
      </c>
      <c r="V11" s="5">
        <v>1418829.193</v>
      </c>
      <c r="W11" s="5">
        <v>1625.2338980527</v>
      </c>
      <c r="X11" s="5">
        <v>2510008.174</v>
      </c>
      <c r="Y11" s="5">
        <v>2875.1525475372</v>
      </c>
      <c r="Z11" s="5">
        <v>1091178.981</v>
      </c>
      <c r="AA11" s="5">
        <v>1249.9186494845</v>
      </c>
      <c r="AB11" s="11">
        <v>0.43473124601864</v>
      </c>
      <c r="AC11" s="4">
        <v>873.0</v>
      </c>
      <c r="AD11" s="4">
        <v>9.0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154397.245</v>
      </c>
      <c r="AK11" s="5">
        <v>1625.2341578947</v>
      </c>
      <c r="AL11" s="5">
        <v>269862.35</v>
      </c>
      <c r="AM11" s="5">
        <v>2840.6563157895</v>
      </c>
      <c r="AN11" s="5">
        <v>115465.105</v>
      </c>
      <c r="AO11" s="5">
        <v>1215.4221578947</v>
      </c>
      <c r="AP11" s="11">
        <v>0.42786666980407</v>
      </c>
      <c r="AQ11" s="4">
        <v>95.0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48</v>
      </c>
      <c r="E12" s="4">
        <v>6.0</v>
      </c>
      <c r="F12" s="5">
        <v>3852.0</v>
      </c>
      <c r="G12" s="4">
        <v>5.0</v>
      </c>
      <c r="H12" s="5">
        <v>3210.0</v>
      </c>
      <c r="I12" s="6">
        <v>0</v>
      </c>
      <c r="J12" s="6">
        <v>0</v>
      </c>
      <c r="K12" s="4">
        <v>7.636356</v>
      </c>
      <c r="L12" s="5">
        <v>4902.540552</v>
      </c>
      <c r="M12" s="7">
        <v>0.34523744047554</v>
      </c>
      <c r="N12" s="4">
        <v>5.0</v>
      </c>
      <c r="O12" s="4">
        <v>0.545454</v>
      </c>
      <c r="P12" s="6">
        <v>0</v>
      </c>
      <c r="Q12" s="6">
        <v>0</v>
      </c>
      <c r="R12" s="4">
        <v>1.0</v>
      </c>
      <c r="S12" s="5">
        <v>642.0</v>
      </c>
      <c r="T12" s="4">
        <v>0.833333</v>
      </c>
      <c r="U12" s="8">
        <v>1.2000004800002</v>
      </c>
      <c r="V12" s="5">
        <v>3000.0</v>
      </c>
      <c r="W12" s="5">
        <v>600.0</v>
      </c>
      <c r="X12" s="5">
        <v>4199.026</v>
      </c>
      <c r="Y12" s="5">
        <v>839.8052</v>
      </c>
      <c r="Z12" s="5">
        <v>1199.026</v>
      </c>
      <c r="AA12" s="5">
        <v>239.8052</v>
      </c>
      <c r="AB12" s="11">
        <v>0.28554860103272</v>
      </c>
      <c r="AC12" s="4">
        <v>5.0</v>
      </c>
      <c r="AD12" s="4">
        <v>1.0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52</v>
      </c>
      <c r="E13" s="6">
        <v>0</v>
      </c>
      <c r="F13" s="6">
        <v>0</v>
      </c>
      <c r="G13" s="4">
        <v>385.0</v>
      </c>
      <c r="H13" s="5">
        <v>3172.4</v>
      </c>
      <c r="I13" s="6">
        <v>0</v>
      </c>
      <c r="J13" s="6">
        <v>0</v>
      </c>
      <c r="K13" s="4">
        <v>37848.36363</v>
      </c>
      <c r="L13" s="5">
        <v>311870.516311</v>
      </c>
      <c r="M13" s="7">
        <v>0.98982782971112</v>
      </c>
      <c r="N13" s="4">
        <v>31288.0</v>
      </c>
      <c r="O13" s="4">
        <v>2703.454545</v>
      </c>
      <c r="P13" s="4">
        <v>10455.0</v>
      </c>
      <c r="Q13" s="4">
        <v>4165.0</v>
      </c>
      <c r="R13" s="4">
        <v>19550.0</v>
      </c>
      <c r="S13" s="5">
        <v>161092.0</v>
      </c>
      <c r="T13" s="4">
        <v>6043.0</v>
      </c>
      <c r="U13" s="8">
        <v>3.2351481052457</v>
      </c>
      <c r="V13" s="5">
        <v>241097.583</v>
      </c>
      <c r="W13" s="5">
        <v>7.7057524610074</v>
      </c>
      <c r="X13" s="5">
        <v>397720.385</v>
      </c>
      <c r="Y13" s="5">
        <v>12.711595020455</v>
      </c>
      <c r="Z13" s="5">
        <v>156622.802</v>
      </c>
      <c r="AA13" s="5">
        <v>5.0058425594477</v>
      </c>
      <c r="AB13" s="11">
        <v>0.39380129333828</v>
      </c>
      <c r="AC13" s="4">
        <v>31288.0</v>
      </c>
      <c r="AD13" s="4">
        <v>1.0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80513.96</v>
      </c>
      <c r="AK13" s="5">
        <v>7.7010004782401</v>
      </c>
      <c r="AL13" s="5">
        <v>128273.845</v>
      </c>
      <c r="AM13" s="5">
        <v>12.269138689622</v>
      </c>
      <c r="AN13" s="5">
        <v>47759.885</v>
      </c>
      <c r="AO13" s="5">
        <v>4.5681382113821</v>
      </c>
      <c r="AP13" s="11">
        <v>0.37232753879016</v>
      </c>
      <c r="AQ13" s="4">
        <v>10455.0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52</v>
      </c>
      <c r="E14" s="4">
        <v>20.0</v>
      </c>
      <c r="F14" s="5">
        <v>10780.0</v>
      </c>
      <c r="G14" s="6">
        <v>0</v>
      </c>
      <c r="H14" s="6">
        <v>0</v>
      </c>
      <c r="I14" s="6">
        <v>0</v>
      </c>
      <c r="J14" s="6">
        <v>0</v>
      </c>
      <c r="K14" s="4">
        <v>585.454534</v>
      </c>
      <c r="L14" s="5">
        <v>315559.993826</v>
      </c>
      <c r="M14" s="7">
        <v>1.0</v>
      </c>
      <c r="N14" s="4">
        <v>450.0</v>
      </c>
      <c r="O14" s="4">
        <v>41.818181</v>
      </c>
      <c r="P14" s="4">
        <v>47.0</v>
      </c>
      <c r="Q14" s="4">
        <v>17.5</v>
      </c>
      <c r="R14" s="4">
        <v>502.0</v>
      </c>
      <c r="S14" s="5">
        <v>270578.0</v>
      </c>
      <c r="T14" s="4">
        <v>49.0</v>
      </c>
      <c r="U14" s="14">
        <v>10.244897959184</v>
      </c>
      <c r="V14" s="5">
        <v>237562.028</v>
      </c>
      <c r="W14" s="5">
        <v>527.91561777778</v>
      </c>
      <c r="X14" s="5">
        <v>354122.446</v>
      </c>
      <c r="Y14" s="5">
        <v>786.93876888889</v>
      </c>
      <c r="Z14" s="5">
        <v>116560.418</v>
      </c>
      <c r="AA14" s="5">
        <v>259.02315111111</v>
      </c>
      <c r="AB14" s="11">
        <v>0.3291528659553</v>
      </c>
      <c r="AC14" s="4">
        <v>450.0</v>
      </c>
      <c r="AD14" s="4">
        <v>6.0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23269.877</v>
      </c>
      <c r="AK14" s="5">
        <v>495.10376595745</v>
      </c>
      <c r="AL14" s="5">
        <v>34398.985</v>
      </c>
      <c r="AM14" s="5">
        <v>731.89329787234</v>
      </c>
      <c r="AN14" s="5">
        <v>11129.108</v>
      </c>
      <c r="AO14" s="5">
        <v>236.78953191489</v>
      </c>
      <c r="AP14" s="11">
        <v>0.3235301274151</v>
      </c>
      <c r="AQ14" s="4">
        <v>47.0</v>
      </c>
      <c r="AR14" s="4">
        <v>1.0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52</v>
      </c>
      <c r="E15" s="4">
        <v>5.0</v>
      </c>
      <c r="F15" s="5">
        <v>3950.0</v>
      </c>
      <c r="G15" s="6">
        <v>0</v>
      </c>
      <c r="H15" s="6">
        <v>0</v>
      </c>
      <c r="I15" s="6">
        <v>0</v>
      </c>
      <c r="J15" s="6">
        <v>0</v>
      </c>
      <c r="K15" s="4">
        <v>868.0</v>
      </c>
      <c r="L15" s="5">
        <v>685720.0</v>
      </c>
      <c r="M15" s="7">
        <v>1.0</v>
      </c>
      <c r="N15" s="4">
        <v>696.0</v>
      </c>
      <c r="O15" s="4">
        <v>62.0</v>
      </c>
      <c r="P15" s="4">
        <v>152.0</v>
      </c>
      <c r="Q15" s="4">
        <v>73.5</v>
      </c>
      <c r="R15" s="4">
        <v>248.0</v>
      </c>
      <c r="S15" s="5">
        <v>195920.0</v>
      </c>
      <c r="T15" s="4">
        <v>105.5</v>
      </c>
      <c r="U15" s="8">
        <v>2.3507109004739</v>
      </c>
      <c r="V15" s="5">
        <v>513846.063</v>
      </c>
      <c r="W15" s="5">
        <v>738.28457327586</v>
      </c>
      <c r="X15" s="5">
        <v>775167.068</v>
      </c>
      <c r="Y15" s="5">
        <v>1113.7457873563</v>
      </c>
      <c r="Z15" s="5">
        <v>261321.005</v>
      </c>
      <c r="AA15" s="5">
        <v>375.46121408046</v>
      </c>
      <c r="AB15" s="11">
        <v>0.33711572096868</v>
      </c>
      <c r="AC15" s="4">
        <v>696.0</v>
      </c>
      <c r="AD15" s="4">
        <v>3.0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112224.353</v>
      </c>
      <c r="AK15" s="5">
        <v>738.31811184211</v>
      </c>
      <c r="AL15" s="5">
        <v>175758.47</v>
      </c>
      <c r="AM15" s="5">
        <v>1156.3057236842</v>
      </c>
      <c r="AN15" s="5">
        <v>63534.117</v>
      </c>
      <c r="AO15" s="5">
        <v>417.98761184211</v>
      </c>
      <c r="AP15" s="11">
        <v>0.36148537820112</v>
      </c>
      <c r="AQ15" s="4">
        <v>152.0</v>
      </c>
      <c r="AR15" s="4">
        <v>1.0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75</v>
      </c>
      <c r="E16" s="4">
        <v>1.0</v>
      </c>
      <c r="F16" s="5">
        <v>2500.002</v>
      </c>
      <c r="G16" s="6">
        <v>0</v>
      </c>
      <c r="H16" s="6">
        <v>0</v>
      </c>
      <c r="I16" s="6">
        <v>0</v>
      </c>
      <c r="J16" s="6">
        <v>0</v>
      </c>
      <c r="K16" s="4">
        <v>14.0</v>
      </c>
      <c r="L16" s="5">
        <v>37800.014</v>
      </c>
      <c r="M16" s="7">
        <v>1.0</v>
      </c>
      <c r="N16" s="4">
        <v>11.0</v>
      </c>
      <c r="O16" s="4">
        <v>1.0</v>
      </c>
      <c r="P16" s="6">
        <v>0</v>
      </c>
      <c r="Q16" s="6">
        <v>0</v>
      </c>
      <c r="R16" s="6">
        <v>0</v>
      </c>
      <c r="S16" s="6">
        <v>0</v>
      </c>
      <c r="T16" s="4">
        <v>1.666666</v>
      </c>
      <c r="U16" s="10" t="s">
        <v>49</v>
      </c>
      <c r="V16" s="5">
        <v>27476.65</v>
      </c>
      <c r="W16" s="5">
        <v>2497.8772727273</v>
      </c>
      <c r="X16" s="5">
        <v>35721.99</v>
      </c>
      <c r="Y16" s="5">
        <v>3247.4536363636</v>
      </c>
      <c r="Z16" s="5">
        <v>8245.34</v>
      </c>
      <c r="AA16" s="5">
        <v>749.57636363636</v>
      </c>
      <c r="AB16" s="9">
        <v>0.23081972756837</v>
      </c>
      <c r="AC16" s="4">
        <v>11.0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78</v>
      </c>
      <c r="E17" s="4">
        <v>100.0</v>
      </c>
      <c r="F17" s="5">
        <v>82000.0</v>
      </c>
      <c r="G17" s="6">
        <v>0</v>
      </c>
      <c r="H17" s="6">
        <v>0</v>
      </c>
      <c r="I17" s="6">
        <v>0</v>
      </c>
      <c r="J17" s="6">
        <v>0</v>
      </c>
      <c r="K17" s="4">
        <v>20.36363</v>
      </c>
      <c r="L17" s="5">
        <v>16698.1766</v>
      </c>
      <c r="M17" s="7">
        <v>1.0</v>
      </c>
      <c r="N17" s="4">
        <v>3.0</v>
      </c>
      <c r="O17" s="4">
        <v>1.454545</v>
      </c>
      <c r="P17" s="6">
        <v>0</v>
      </c>
      <c r="Q17" s="6">
        <v>0</v>
      </c>
      <c r="R17" s="4">
        <v>1.0</v>
      </c>
      <c r="S17" s="5">
        <v>820.0</v>
      </c>
      <c r="T17" s="4">
        <v>2.5</v>
      </c>
      <c r="U17" s="8">
        <v>0.4</v>
      </c>
      <c r="V17" s="5">
        <v>3963.53</v>
      </c>
      <c r="W17" s="5">
        <v>1321.1766666667</v>
      </c>
      <c r="X17" s="5">
        <v>-1026.323</v>
      </c>
      <c r="Y17" s="5">
        <v>-342.10766666667</v>
      </c>
      <c r="Z17" s="5">
        <v>-4989.853</v>
      </c>
      <c r="AA17" s="5">
        <v>-1663.2843333333</v>
      </c>
      <c r="AB17" s="15">
        <v>0</v>
      </c>
      <c r="AC17" s="4">
        <v>3.0</v>
      </c>
      <c r="AD17" s="4">
        <v>1.0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79</v>
      </c>
      <c r="C18" t="s">
        <v>80</v>
      </c>
      <c r="D18" s="3" t="s">
        <v>81</v>
      </c>
      <c r="E18" s="4">
        <v>3.0</v>
      </c>
      <c r="F18" s="5">
        <v>4317.0</v>
      </c>
      <c r="G18" s="6">
        <v>0</v>
      </c>
      <c r="H18" s="6">
        <v>0</v>
      </c>
      <c r="I18" s="6">
        <v>0</v>
      </c>
      <c r="J18" s="6">
        <v>0</v>
      </c>
      <c r="K18" s="4">
        <v>2478.0</v>
      </c>
      <c r="L18" s="5">
        <v>3565842.0</v>
      </c>
      <c r="M18" s="7">
        <v>1.0</v>
      </c>
      <c r="N18" s="4">
        <v>1977.0</v>
      </c>
      <c r="O18" s="4">
        <v>177.0</v>
      </c>
      <c r="P18" s="4">
        <v>280.0</v>
      </c>
      <c r="Q18" s="4">
        <v>114.0</v>
      </c>
      <c r="R18" s="4">
        <v>739.0</v>
      </c>
      <c r="S18" s="5">
        <v>1063421.0</v>
      </c>
      <c r="T18" s="4">
        <v>309.666666</v>
      </c>
      <c r="U18" s="8">
        <v>2.3864370342012</v>
      </c>
      <c r="V18" s="5">
        <v>2651766.055</v>
      </c>
      <c r="W18" s="5">
        <v>1341.3080703085</v>
      </c>
      <c r="X18" s="5">
        <v>3819854.507</v>
      </c>
      <c r="Y18" s="5">
        <v>1932.1469433485</v>
      </c>
      <c r="Z18" s="5">
        <v>1168088.452</v>
      </c>
      <c r="AA18" s="5">
        <v>590.83887303996</v>
      </c>
      <c r="AB18" s="11">
        <v>0.30579396410503</v>
      </c>
      <c r="AC18" s="4">
        <v>1977.0</v>
      </c>
      <c r="AD18" s="4">
        <v>12.0</v>
      </c>
      <c r="AE18" s="6">
        <v>0</v>
      </c>
      <c r="AF18" s="6">
        <v>0</v>
      </c>
      <c r="AG18" s="3">
        <v>0</v>
      </c>
      <c r="AH18" s="4">
        <v>1.0</v>
      </c>
      <c r="AI18" s="5">
        <v>1439.0</v>
      </c>
      <c r="AJ18" s="5">
        <v>376560.8</v>
      </c>
      <c r="AK18" s="5">
        <v>1344.86</v>
      </c>
      <c r="AL18" s="5">
        <v>541237.956</v>
      </c>
      <c r="AM18" s="5">
        <v>1932.9927</v>
      </c>
      <c r="AN18" s="5">
        <v>164677.156</v>
      </c>
      <c r="AO18" s="5">
        <v>588.1327</v>
      </c>
      <c r="AP18" s="11">
        <v>0.30426017646109</v>
      </c>
      <c r="AQ18" s="4">
        <v>280.0</v>
      </c>
      <c r="AR18" s="4">
        <v>2.0</v>
      </c>
      <c r="AS18" s="6">
        <v>0</v>
      </c>
      <c r="AT18" s="6">
        <v>0</v>
      </c>
      <c r="AU18" s="3">
        <v>0</v>
      </c>
      <c r="AV18" s="4">
        <v>1.0</v>
      </c>
      <c r="AW18" s="5">
        <v>1439.0</v>
      </c>
    </row>
    <row r="19" spans="1:49">
      <c r="A19" s="3">
        <v>17</v>
      </c>
      <c r="B19" s="3" t="s">
        <v>82</v>
      </c>
      <c r="C19" t="s">
        <v>83</v>
      </c>
      <c r="D19" s="3" t="s">
        <v>52</v>
      </c>
      <c r="E19" s="4">
        <v>75.0</v>
      </c>
      <c r="F19" s="5">
        <v>4050.0</v>
      </c>
      <c r="G19" s="6">
        <v>0</v>
      </c>
      <c r="H19" s="6">
        <v>0</v>
      </c>
      <c r="I19" s="6">
        <v>0</v>
      </c>
      <c r="J19" s="6">
        <v>0</v>
      </c>
      <c r="K19" s="4">
        <v>25408.72726</v>
      </c>
      <c r="L19" s="5">
        <v>1372071.27204</v>
      </c>
      <c r="M19" s="7">
        <v>1.0</v>
      </c>
      <c r="N19" s="4">
        <v>19950.0</v>
      </c>
      <c r="O19" s="4">
        <v>1814.90909</v>
      </c>
      <c r="P19" s="4">
        <v>5356.0</v>
      </c>
      <c r="Q19" s="4">
        <v>2113.0</v>
      </c>
      <c r="R19" s="4">
        <v>10195.0</v>
      </c>
      <c r="S19" s="5">
        <v>550530.0</v>
      </c>
      <c r="T19" s="4">
        <v>3551.166666</v>
      </c>
      <c r="U19" s="8">
        <v>2.8708875022989</v>
      </c>
      <c r="V19" s="5">
        <v>1006816.645</v>
      </c>
      <c r="W19" s="5">
        <v>50.466999749373</v>
      </c>
      <c r="X19" s="5">
        <v>1611839.874</v>
      </c>
      <c r="Y19" s="5">
        <v>80.793978646617</v>
      </c>
      <c r="Z19" s="5">
        <v>605023.229</v>
      </c>
      <c r="AA19" s="5">
        <v>30.326978897243</v>
      </c>
      <c r="AB19" s="11">
        <v>0.37536186984787</v>
      </c>
      <c r="AC19" s="4">
        <v>19950.0</v>
      </c>
      <c r="AD19" s="4">
        <v>1.0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270301.25</v>
      </c>
      <c r="AK19" s="5">
        <v>50.466999626587</v>
      </c>
      <c r="AL19" s="5">
        <v>408651.5</v>
      </c>
      <c r="AM19" s="5">
        <v>76.29789021658</v>
      </c>
      <c r="AN19" s="5">
        <v>138350.25</v>
      </c>
      <c r="AO19" s="5">
        <v>25.830890589993</v>
      </c>
      <c r="AP19" s="11">
        <v>0.33855314369334</v>
      </c>
      <c r="AQ19" s="4">
        <v>5356.0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86</v>
      </c>
      <c r="E20" s="4">
        <v>1.0</v>
      </c>
      <c r="F20" s="5">
        <v>6390.0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0" t="s">
        <v>49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87</v>
      </c>
      <c r="C21" t="s">
        <v>88</v>
      </c>
      <c r="D21" s="3" t="s">
        <v>86</v>
      </c>
      <c r="E21" s="4">
        <v>2.0</v>
      </c>
      <c r="F21" s="5">
        <v>13980.0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0" t="s">
        <v>49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1" t="s">
        <v>89</v>
      </c>
      <c r="B22" s="1"/>
      <c r="C22" s="1"/>
      <c r="D22" s="1"/>
      <c r="E22" s="1"/>
      <c r="F22" s="17">
        <f>SUM(F3:F22)</f>
        <v>655531.702</v>
      </c>
      <c r="G22" s="1"/>
      <c r="H22" s="17">
        <f>SUM(H3:H22)</f>
        <v>679179</v>
      </c>
      <c r="I22" s="1"/>
      <c r="J22" s="17">
        <f>SUM(J3:J22)</f>
        <v>11770</v>
      </c>
      <c r="K22" s="1"/>
      <c r="L22" s="17">
        <f>SUM(L3:L22)</f>
        <v>14382520.645644</v>
      </c>
      <c r="M22" s="1"/>
      <c r="N22" s="1"/>
      <c r="O22" s="1"/>
      <c r="P22" s="1"/>
      <c r="Q22" s="1"/>
      <c r="R22" s="1"/>
      <c r="S22" s="17">
        <f>SUM(S3:S22)</f>
        <v>2971464</v>
      </c>
      <c r="T22" s="1"/>
      <c r="U22" s="1"/>
      <c r="V22" s="17">
        <f>SUM(V3:V22)</f>
        <v>10681950.908</v>
      </c>
      <c r="W22" s="1"/>
      <c r="X22" s="17">
        <f>SUM(X3:X22)</f>
        <v>15858791.898</v>
      </c>
      <c r="Y22" s="1"/>
      <c r="Z22" s="17">
        <f>SUM(Z3:Z22)</f>
        <v>5176840.99</v>
      </c>
      <c r="AA22" s="1"/>
      <c r="AB22" s="1"/>
      <c r="AC22" s="1"/>
      <c r="AD22" s="1"/>
      <c r="AE22" s="1"/>
      <c r="AF22" s="17">
        <f>SUM(AF3:AF22)</f>
        <v>0</v>
      </c>
      <c r="AG22" s="1"/>
      <c r="AH22" s="1"/>
      <c r="AI22" s="17">
        <f>SUM(AI3:AI22)</f>
        <v>3012</v>
      </c>
      <c r="AJ22" s="17">
        <f>SUM(AJ3:V22)</f>
        <v>65983210.711239</v>
      </c>
      <c r="AK22" s="1"/>
      <c r="AL22" s="17">
        <f>SUM(AL3:AL22)</f>
        <v>3290355.693</v>
      </c>
      <c r="AM22" s="1"/>
      <c r="AN22" s="17">
        <f>SUM(AN3:AN22)</f>
        <v>1013265.45</v>
      </c>
      <c r="AO22" s="1"/>
      <c r="AP22" s="1"/>
      <c r="AQ22" s="1"/>
      <c r="AR22" s="1"/>
      <c r="AS22" s="1"/>
      <c r="AT22" s="17">
        <f>SUM(AT3:AT22)</f>
        <v>0</v>
      </c>
      <c r="AU22" s="1"/>
      <c r="AV22" s="1"/>
      <c r="AW22" s="17">
        <f>SUM(AW3:AW22)</f>
        <v>3012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9"/>
  <sheetViews>
    <sheetView tabSelected="0" workbookViewId="0" showGridLines="true" showRowColHeaders="1">
      <pane ySplit="1" topLeftCell="A2" activePane="bottomLeft" state="frozen"/>
      <selection pane="bottomLeft" activeCell="I49" sqref="I4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1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99</v>
      </c>
      <c r="C2" s="3" t="s">
        <v>100</v>
      </c>
      <c r="D2" s="18">
        <v>44977.0</v>
      </c>
      <c r="E2" t="s">
        <v>101</v>
      </c>
      <c r="F2" s="3" t="s">
        <v>69</v>
      </c>
      <c r="G2" t="s">
        <v>70</v>
      </c>
      <c r="H2" s="3" t="s">
        <v>102</v>
      </c>
      <c r="I2" s="4">
        <v>1.0</v>
      </c>
      <c r="J2" t="s">
        <v>103</v>
      </c>
      <c r="K2" t="s">
        <v>104</v>
      </c>
      <c r="L2" t="s">
        <v>105</v>
      </c>
    </row>
    <row r="3" spans="1:36">
      <c r="A3" s="3">
        <v>2</v>
      </c>
      <c r="B3" t="s">
        <v>106</v>
      </c>
      <c r="C3" s="3" t="s">
        <v>107</v>
      </c>
      <c r="D3" s="18">
        <v>45091.0</v>
      </c>
      <c r="E3" t="s">
        <v>108</v>
      </c>
      <c r="F3" s="3" t="s">
        <v>69</v>
      </c>
      <c r="G3" t="s">
        <v>70</v>
      </c>
      <c r="H3" s="3" t="s">
        <v>102</v>
      </c>
      <c r="I3" s="4">
        <v>1.0</v>
      </c>
      <c r="J3" t="s">
        <v>109</v>
      </c>
      <c r="K3" t="s">
        <v>104</v>
      </c>
      <c r="L3" t="s">
        <v>110</v>
      </c>
    </row>
    <row r="4" spans="1:36">
      <c r="A4" s="3">
        <v>3</v>
      </c>
      <c r="B4" t="s">
        <v>99</v>
      </c>
      <c r="C4" s="3" t="s">
        <v>111</v>
      </c>
      <c r="D4" s="18">
        <v>45126.0</v>
      </c>
      <c r="E4" t="s">
        <v>112</v>
      </c>
      <c r="F4" s="3" t="s">
        <v>69</v>
      </c>
      <c r="G4" t="s">
        <v>70</v>
      </c>
      <c r="H4" s="3" t="s">
        <v>102</v>
      </c>
      <c r="I4" s="4">
        <v>1.0</v>
      </c>
      <c r="J4" t="s">
        <v>103</v>
      </c>
      <c r="K4" t="s">
        <v>104</v>
      </c>
      <c r="L4" t="s">
        <v>113</v>
      </c>
    </row>
    <row r="5" spans="1:36">
      <c r="A5" s="3">
        <v>4</v>
      </c>
      <c r="B5" t="s">
        <v>99</v>
      </c>
      <c r="C5" s="3" t="s">
        <v>114</v>
      </c>
      <c r="D5" s="18">
        <v>45182.0</v>
      </c>
      <c r="E5" t="s">
        <v>115</v>
      </c>
      <c r="F5" s="3" t="s">
        <v>69</v>
      </c>
      <c r="G5" t="s">
        <v>70</v>
      </c>
      <c r="H5" s="3" t="s">
        <v>102</v>
      </c>
      <c r="I5" s="4">
        <v>1.0</v>
      </c>
      <c r="J5" t="s">
        <v>103</v>
      </c>
      <c r="K5" t="s">
        <v>104</v>
      </c>
      <c r="L5" t="s">
        <v>116</v>
      </c>
    </row>
    <row r="6" spans="1:36">
      <c r="A6" s="3">
        <v>5</v>
      </c>
      <c r="B6" t="s">
        <v>106</v>
      </c>
      <c r="C6" s="3" t="s">
        <v>117</v>
      </c>
      <c r="D6" s="18">
        <v>45224.0</v>
      </c>
      <c r="E6" t="s">
        <v>118</v>
      </c>
      <c r="F6" s="3" t="s">
        <v>69</v>
      </c>
      <c r="G6" t="s">
        <v>70</v>
      </c>
      <c r="H6" s="3" t="s">
        <v>102</v>
      </c>
      <c r="I6" s="4">
        <v>2.0</v>
      </c>
      <c r="J6" t="s">
        <v>103</v>
      </c>
      <c r="K6" t="s">
        <v>119</v>
      </c>
      <c r="L6" t="s">
        <v>120</v>
      </c>
    </row>
    <row r="7" spans="1:36">
      <c r="A7" s="3">
        <v>6</v>
      </c>
      <c r="B7" t="s">
        <v>121</v>
      </c>
      <c r="C7" s="3" t="s">
        <v>122</v>
      </c>
      <c r="D7" s="18">
        <v>45331.0</v>
      </c>
      <c r="E7" t="s">
        <v>123</v>
      </c>
      <c r="F7" s="3" t="s">
        <v>69</v>
      </c>
      <c r="G7" t="s">
        <v>70</v>
      </c>
      <c r="H7" s="3" t="s">
        <v>102</v>
      </c>
      <c r="I7" s="4">
        <v>1.0</v>
      </c>
      <c r="J7" t="s">
        <v>103</v>
      </c>
      <c r="K7" t="s">
        <v>124</v>
      </c>
      <c r="L7" t="s">
        <v>125</v>
      </c>
    </row>
    <row r="8" spans="1:36">
      <c r="A8" s="3">
        <v>7</v>
      </c>
      <c r="B8" t="s">
        <v>99</v>
      </c>
      <c r="C8" s="3" t="s">
        <v>126</v>
      </c>
      <c r="D8" s="18">
        <v>44979.0</v>
      </c>
      <c r="E8" t="s">
        <v>115</v>
      </c>
      <c r="F8" s="3" t="s">
        <v>71</v>
      </c>
      <c r="G8" t="s">
        <v>72</v>
      </c>
      <c r="H8" s="3" t="s">
        <v>102</v>
      </c>
      <c r="I8" s="4">
        <v>2.0</v>
      </c>
      <c r="J8" t="s">
        <v>109</v>
      </c>
      <c r="K8" t="s">
        <v>104</v>
      </c>
      <c r="L8" t="s">
        <v>127</v>
      </c>
    </row>
    <row r="9" spans="1:36">
      <c r="A9" s="3">
        <v>8</v>
      </c>
      <c r="B9" t="s">
        <v>99</v>
      </c>
      <c r="C9" s="3" t="s">
        <v>128</v>
      </c>
      <c r="D9" s="18">
        <v>45269.0</v>
      </c>
      <c r="E9" t="s">
        <v>129</v>
      </c>
      <c r="F9" s="3" t="s">
        <v>71</v>
      </c>
      <c r="G9" t="s">
        <v>72</v>
      </c>
      <c r="H9" s="3" t="s">
        <v>102</v>
      </c>
      <c r="I9" s="4">
        <v>1.0</v>
      </c>
      <c r="J9" t="s">
        <v>103</v>
      </c>
      <c r="K9" t="s">
        <v>104</v>
      </c>
      <c r="L9" t="s">
        <v>130</v>
      </c>
    </row>
    <row r="10" spans="1:36">
      <c r="A10" s="3">
        <v>9</v>
      </c>
      <c r="B10" t="s">
        <v>99</v>
      </c>
      <c r="C10" s="3" t="s">
        <v>131</v>
      </c>
      <c r="D10" s="18">
        <v>45303.0</v>
      </c>
      <c r="E10" t="s">
        <v>132</v>
      </c>
      <c r="F10" s="3" t="s">
        <v>71</v>
      </c>
      <c r="G10" t="s">
        <v>72</v>
      </c>
      <c r="H10" s="3" t="s">
        <v>102</v>
      </c>
      <c r="I10" s="4">
        <v>1.0</v>
      </c>
      <c r="J10" t="s">
        <v>103</v>
      </c>
      <c r="K10" t="s">
        <v>119</v>
      </c>
      <c r="L10" t="s">
        <v>133</v>
      </c>
    </row>
    <row r="11" spans="1:36">
      <c r="A11" s="3">
        <v>10</v>
      </c>
      <c r="B11" t="s">
        <v>121</v>
      </c>
      <c r="C11" s="3" t="s">
        <v>134</v>
      </c>
      <c r="D11" s="18">
        <v>45234.0</v>
      </c>
      <c r="E11" t="s">
        <v>123</v>
      </c>
      <c r="F11" s="3" t="s">
        <v>65</v>
      </c>
      <c r="G11" t="s">
        <v>66</v>
      </c>
      <c r="H11" s="3" t="s">
        <v>102</v>
      </c>
      <c r="I11" s="4">
        <v>1.0</v>
      </c>
      <c r="J11" t="s">
        <v>135</v>
      </c>
      <c r="K11" t="s">
        <v>104</v>
      </c>
      <c r="L11" t="s">
        <v>136</v>
      </c>
    </row>
    <row r="12" spans="1:36">
      <c r="A12" s="3">
        <v>11</v>
      </c>
      <c r="B12" t="s">
        <v>99</v>
      </c>
      <c r="C12" s="3" t="s">
        <v>137</v>
      </c>
      <c r="D12" s="18">
        <v>44952.0</v>
      </c>
      <c r="E12" t="s">
        <v>138</v>
      </c>
      <c r="F12" s="3" t="s">
        <v>46</v>
      </c>
      <c r="G12" t="s">
        <v>47</v>
      </c>
      <c r="H12" s="3" t="s">
        <v>102</v>
      </c>
      <c r="I12" s="4">
        <v>1.0</v>
      </c>
      <c r="J12" t="s">
        <v>139</v>
      </c>
      <c r="K12" t="s">
        <v>104</v>
      </c>
      <c r="L12" t="s">
        <v>140</v>
      </c>
    </row>
    <row r="13" spans="1:36">
      <c r="A13" s="3">
        <v>12</v>
      </c>
      <c r="B13" t="s">
        <v>99</v>
      </c>
      <c r="C13" s="3" t="s">
        <v>114</v>
      </c>
      <c r="D13" s="18">
        <v>45182.0</v>
      </c>
      <c r="E13" t="s">
        <v>115</v>
      </c>
      <c r="F13" s="3" t="s">
        <v>46</v>
      </c>
      <c r="G13" t="s">
        <v>47</v>
      </c>
      <c r="H13" s="3" t="s">
        <v>102</v>
      </c>
      <c r="I13" s="4">
        <v>1.0</v>
      </c>
      <c r="J13" t="s">
        <v>139</v>
      </c>
      <c r="K13" t="s">
        <v>104</v>
      </c>
      <c r="L13" t="s">
        <v>116</v>
      </c>
    </row>
    <row r="14" spans="1:36">
      <c r="A14" s="3">
        <v>13</v>
      </c>
      <c r="B14" t="s">
        <v>99</v>
      </c>
      <c r="C14" s="3" t="s">
        <v>141</v>
      </c>
      <c r="D14" s="18">
        <v>44930.0</v>
      </c>
      <c r="E14" t="s">
        <v>142</v>
      </c>
      <c r="F14" s="3" t="s">
        <v>76</v>
      </c>
      <c r="G14" t="s">
        <v>77</v>
      </c>
      <c r="H14" s="3" t="s">
        <v>102</v>
      </c>
      <c r="I14" s="4">
        <v>1.0</v>
      </c>
      <c r="J14" t="s">
        <v>109</v>
      </c>
      <c r="K14" t="s">
        <v>124</v>
      </c>
      <c r="L14" t="s">
        <v>143</v>
      </c>
    </row>
    <row r="15" spans="1:36">
      <c r="A15" s="3">
        <v>14</v>
      </c>
      <c r="B15" t="s">
        <v>144</v>
      </c>
      <c r="C15" s="3" t="s">
        <v>145</v>
      </c>
      <c r="D15" s="18">
        <v>44987.0</v>
      </c>
      <c r="E15" t="s">
        <v>146</v>
      </c>
      <c r="F15" s="3" t="s">
        <v>50</v>
      </c>
      <c r="G15" t="s">
        <v>51</v>
      </c>
      <c r="H15" s="3" t="s">
        <v>102</v>
      </c>
      <c r="I15" s="4">
        <v>1.0</v>
      </c>
      <c r="J15" t="s">
        <v>103</v>
      </c>
      <c r="K15" t="s">
        <v>124</v>
      </c>
      <c r="L15" t="s">
        <v>147</v>
      </c>
    </row>
    <row r="16" spans="1:36">
      <c r="A16" s="3">
        <v>15</v>
      </c>
      <c r="B16" t="s">
        <v>121</v>
      </c>
      <c r="C16" s="3" t="s">
        <v>148</v>
      </c>
      <c r="D16" s="18">
        <v>45079.0</v>
      </c>
      <c r="E16" t="s">
        <v>149</v>
      </c>
      <c r="F16" s="3" t="s">
        <v>50</v>
      </c>
      <c r="G16" t="s">
        <v>51</v>
      </c>
      <c r="H16" s="3" t="s">
        <v>102</v>
      </c>
      <c r="I16" s="4">
        <v>1.0</v>
      </c>
      <c r="J16" t="s">
        <v>103</v>
      </c>
      <c r="K16" t="s">
        <v>104</v>
      </c>
      <c r="L16" t="s">
        <v>150</v>
      </c>
    </row>
    <row r="17" spans="1:36">
      <c r="A17" s="3">
        <v>16</v>
      </c>
      <c r="B17" t="s">
        <v>121</v>
      </c>
      <c r="C17" s="3" t="s">
        <v>151</v>
      </c>
      <c r="D17" s="18">
        <v>45143.0</v>
      </c>
      <c r="E17" t="s">
        <v>152</v>
      </c>
      <c r="F17" s="3" t="s">
        <v>50</v>
      </c>
      <c r="G17" t="s">
        <v>51</v>
      </c>
      <c r="H17" s="3" t="s">
        <v>102</v>
      </c>
      <c r="I17" s="4">
        <v>1.0</v>
      </c>
      <c r="J17" t="s">
        <v>103</v>
      </c>
      <c r="K17" t="s">
        <v>124</v>
      </c>
      <c r="L17" t="s">
        <v>153</v>
      </c>
    </row>
    <row r="18" spans="1:36">
      <c r="A18" s="3">
        <v>17</v>
      </c>
      <c r="B18" t="s">
        <v>121</v>
      </c>
      <c r="C18" s="3" t="s">
        <v>154</v>
      </c>
      <c r="D18" s="18">
        <v>45251.0</v>
      </c>
      <c r="E18" t="s">
        <v>155</v>
      </c>
      <c r="F18" s="3" t="s">
        <v>50</v>
      </c>
      <c r="G18" t="s">
        <v>51</v>
      </c>
      <c r="H18" s="3" t="s">
        <v>102</v>
      </c>
      <c r="I18" s="4">
        <v>1.0</v>
      </c>
      <c r="J18" t="s">
        <v>103</v>
      </c>
      <c r="K18" t="s">
        <v>104</v>
      </c>
      <c r="L18" t="s">
        <v>156</v>
      </c>
    </row>
    <row r="19" spans="1:36">
      <c r="A19" s="3">
        <v>18</v>
      </c>
      <c r="B19" t="s">
        <v>121</v>
      </c>
      <c r="C19" s="3" t="s">
        <v>157</v>
      </c>
      <c r="D19" s="18">
        <v>45274.0</v>
      </c>
      <c r="E19" t="s">
        <v>155</v>
      </c>
      <c r="F19" s="3" t="s">
        <v>50</v>
      </c>
      <c r="G19" t="s">
        <v>51</v>
      </c>
      <c r="H19" s="3" t="s">
        <v>158</v>
      </c>
      <c r="I19" s="4">
        <v>1.0</v>
      </c>
      <c r="J19" t="s">
        <v>103</v>
      </c>
      <c r="K19" t="s">
        <v>124</v>
      </c>
      <c r="L19" t="s">
        <v>159</v>
      </c>
    </row>
    <row r="20" spans="1:36">
      <c r="A20" s="3">
        <v>19</v>
      </c>
      <c r="B20" t="s">
        <v>121</v>
      </c>
      <c r="C20" s="3" t="s">
        <v>160</v>
      </c>
      <c r="D20" s="18">
        <v>45300.0</v>
      </c>
      <c r="E20" t="s">
        <v>161</v>
      </c>
      <c r="F20" s="3" t="s">
        <v>50</v>
      </c>
      <c r="G20" t="s">
        <v>51</v>
      </c>
      <c r="H20" s="3" t="s">
        <v>102</v>
      </c>
      <c r="I20" s="4">
        <v>1.0</v>
      </c>
      <c r="J20" t="s">
        <v>103</v>
      </c>
      <c r="K20" t="s">
        <v>162</v>
      </c>
      <c r="L20" t="s">
        <v>163</v>
      </c>
    </row>
    <row r="21" spans="1:36">
      <c r="A21" s="3">
        <v>20</v>
      </c>
      <c r="B21" t="s">
        <v>121</v>
      </c>
      <c r="C21" s="3" t="s">
        <v>164</v>
      </c>
      <c r="D21" s="18">
        <v>45320.0</v>
      </c>
      <c r="E21" t="s">
        <v>165</v>
      </c>
      <c r="F21" s="3" t="s">
        <v>50</v>
      </c>
      <c r="G21" t="s">
        <v>51</v>
      </c>
      <c r="H21" s="3" t="s">
        <v>102</v>
      </c>
      <c r="I21" s="4">
        <v>1.0</v>
      </c>
      <c r="J21" t="s">
        <v>103</v>
      </c>
      <c r="K21" t="s">
        <v>124</v>
      </c>
      <c r="L21" t="s">
        <v>166</v>
      </c>
    </row>
    <row r="22" spans="1:36">
      <c r="A22" s="3">
        <v>21</v>
      </c>
      <c r="B22" t="s">
        <v>121</v>
      </c>
      <c r="C22" s="3" t="s">
        <v>167</v>
      </c>
      <c r="D22" s="18">
        <v>45328.0</v>
      </c>
      <c r="E22" t="s">
        <v>168</v>
      </c>
      <c r="F22" s="3" t="s">
        <v>50</v>
      </c>
      <c r="G22" t="s">
        <v>51</v>
      </c>
      <c r="H22" s="3" t="s">
        <v>102</v>
      </c>
      <c r="I22" s="4">
        <v>1.0</v>
      </c>
      <c r="J22" t="s">
        <v>103</v>
      </c>
      <c r="K22" t="s">
        <v>104</v>
      </c>
      <c r="L22" t="s">
        <v>169</v>
      </c>
    </row>
    <row r="23" spans="1:36">
      <c r="A23" s="3">
        <v>22</v>
      </c>
      <c r="B23" t="s">
        <v>121</v>
      </c>
      <c r="C23" s="3" t="s">
        <v>170</v>
      </c>
      <c r="D23" s="18">
        <v>45358.0</v>
      </c>
      <c r="E23" t="s">
        <v>171</v>
      </c>
      <c r="F23" s="3" t="s">
        <v>50</v>
      </c>
      <c r="G23" t="s">
        <v>51</v>
      </c>
      <c r="H23" s="3" t="s">
        <v>102</v>
      </c>
      <c r="I23" s="4">
        <v>2.0</v>
      </c>
      <c r="J23" t="s">
        <v>103</v>
      </c>
      <c r="K23" t="s">
        <v>104</v>
      </c>
      <c r="L23" t="s">
        <v>172</v>
      </c>
    </row>
    <row r="24" spans="1:36">
      <c r="A24" s="3">
        <v>23</v>
      </c>
      <c r="B24" t="s">
        <v>99</v>
      </c>
      <c r="C24" s="3" t="s">
        <v>173</v>
      </c>
      <c r="D24" s="18">
        <v>44977.0</v>
      </c>
      <c r="E24" t="s">
        <v>174</v>
      </c>
      <c r="F24" s="3" t="s">
        <v>79</v>
      </c>
      <c r="G24" t="s">
        <v>80</v>
      </c>
      <c r="H24" s="3" t="s">
        <v>102</v>
      </c>
      <c r="I24" s="4">
        <v>1.0</v>
      </c>
      <c r="J24" t="s">
        <v>139</v>
      </c>
      <c r="K24" t="s">
        <v>104</v>
      </c>
      <c r="L24" t="s">
        <v>175</v>
      </c>
    </row>
    <row r="25" spans="1:36">
      <c r="A25" s="3">
        <v>24</v>
      </c>
      <c r="B25" t="s">
        <v>99</v>
      </c>
      <c r="C25" s="3" t="s">
        <v>176</v>
      </c>
      <c r="D25" s="18">
        <v>44981.0</v>
      </c>
      <c r="E25" t="s">
        <v>112</v>
      </c>
      <c r="F25" s="3" t="s">
        <v>79</v>
      </c>
      <c r="G25" t="s">
        <v>80</v>
      </c>
      <c r="H25" s="3" t="s">
        <v>102</v>
      </c>
      <c r="I25" s="4">
        <v>1.0</v>
      </c>
      <c r="J25" t="s">
        <v>139</v>
      </c>
      <c r="K25" t="s">
        <v>104</v>
      </c>
      <c r="L25" t="s">
        <v>177</v>
      </c>
    </row>
    <row r="26" spans="1:36">
      <c r="A26" s="3">
        <v>25</v>
      </c>
      <c r="B26" t="s">
        <v>99</v>
      </c>
      <c r="C26" s="3" t="s">
        <v>178</v>
      </c>
      <c r="D26" s="18">
        <v>44982.0</v>
      </c>
      <c r="E26" t="s">
        <v>179</v>
      </c>
      <c r="F26" s="3" t="s">
        <v>79</v>
      </c>
      <c r="G26" t="s">
        <v>80</v>
      </c>
      <c r="H26" s="3" t="s">
        <v>102</v>
      </c>
      <c r="I26" s="4">
        <v>2.0</v>
      </c>
      <c r="J26" t="s">
        <v>139</v>
      </c>
      <c r="K26" t="s">
        <v>104</v>
      </c>
      <c r="L26" t="s">
        <v>180</v>
      </c>
    </row>
    <row r="27" spans="1:36">
      <c r="A27" s="3">
        <v>26</v>
      </c>
      <c r="B27" t="s">
        <v>99</v>
      </c>
      <c r="C27" s="3" t="s">
        <v>181</v>
      </c>
      <c r="D27" s="18">
        <v>45100.0</v>
      </c>
      <c r="E27" t="s">
        <v>179</v>
      </c>
      <c r="F27" s="3" t="s">
        <v>79</v>
      </c>
      <c r="G27" t="s">
        <v>80</v>
      </c>
      <c r="H27" s="3" t="s">
        <v>102</v>
      </c>
      <c r="I27" s="4">
        <v>1.0</v>
      </c>
      <c r="J27" t="s">
        <v>139</v>
      </c>
      <c r="K27" t="s">
        <v>104</v>
      </c>
      <c r="L27" t="s">
        <v>182</v>
      </c>
    </row>
    <row r="28" spans="1:36">
      <c r="A28" s="3">
        <v>27</v>
      </c>
      <c r="B28" t="s">
        <v>99</v>
      </c>
      <c r="C28" s="3" t="s">
        <v>183</v>
      </c>
      <c r="D28" s="18">
        <v>45162.0</v>
      </c>
      <c r="E28" t="s">
        <v>174</v>
      </c>
      <c r="F28" s="3" t="s">
        <v>79</v>
      </c>
      <c r="G28" t="s">
        <v>80</v>
      </c>
      <c r="H28" s="3" t="s">
        <v>102</v>
      </c>
      <c r="I28" s="4">
        <v>1.0</v>
      </c>
      <c r="J28" t="s">
        <v>139</v>
      </c>
      <c r="K28" t="s">
        <v>104</v>
      </c>
      <c r="L28" t="s">
        <v>184</v>
      </c>
    </row>
    <row r="29" spans="1:36">
      <c r="A29" s="3">
        <v>28</v>
      </c>
      <c r="B29" t="s">
        <v>99</v>
      </c>
      <c r="C29" s="3" t="s">
        <v>185</v>
      </c>
      <c r="D29" s="18">
        <v>45204.0</v>
      </c>
      <c r="E29" t="s">
        <v>129</v>
      </c>
      <c r="F29" s="3" t="s">
        <v>79</v>
      </c>
      <c r="G29" t="s">
        <v>80</v>
      </c>
      <c r="H29" s="3" t="s">
        <v>102</v>
      </c>
      <c r="I29" s="4">
        <v>1.0</v>
      </c>
      <c r="J29" t="s">
        <v>139</v>
      </c>
      <c r="K29" t="s">
        <v>104</v>
      </c>
      <c r="L29" t="s">
        <v>186</v>
      </c>
    </row>
    <row r="30" spans="1:36">
      <c r="A30" s="3">
        <v>29</v>
      </c>
      <c r="B30" t="s">
        <v>99</v>
      </c>
      <c r="C30" s="3" t="s">
        <v>187</v>
      </c>
      <c r="D30" s="18">
        <v>45230.0</v>
      </c>
      <c r="E30" t="s">
        <v>188</v>
      </c>
      <c r="F30" s="3" t="s">
        <v>79</v>
      </c>
      <c r="G30" t="s">
        <v>80</v>
      </c>
      <c r="H30" s="3" t="s">
        <v>102</v>
      </c>
      <c r="I30" s="4">
        <v>2.0</v>
      </c>
      <c r="J30" t="s">
        <v>139</v>
      </c>
      <c r="K30" t="s">
        <v>104</v>
      </c>
      <c r="L30" t="s">
        <v>189</v>
      </c>
    </row>
    <row r="31" spans="1:36">
      <c r="A31" s="3">
        <v>30</v>
      </c>
      <c r="B31" t="s">
        <v>99</v>
      </c>
      <c r="C31" s="3" t="s">
        <v>190</v>
      </c>
      <c r="D31" s="18">
        <v>45230.0</v>
      </c>
      <c r="E31" t="s">
        <v>191</v>
      </c>
      <c r="F31" s="3" t="s">
        <v>79</v>
      </c>
      <c r="G31" t="s">
        <v>80</v>
      </c>
      <c r="H31" s="3" t="s">
        <v>102</v>
      </c>
      <c r="I31" s="4">
        <v>1.0</v>
      </c>
      <c r="J31" t="s">
        <v>139</v>
      </c>
      <c r="K31" t="s">
        <v>104</v>
      </c>
      <c r="L31" t="s">
        <v>192</v>
      </c>
    </row>
    <row r="32" spans="1:36">
      <c r="A32" s="3">
        <v>31</v>
      </c>
      <c r="B32" t="s">
        <v>99</v>
      </c>
      <c r="C32" s="3" t="s">
        <v>193</v>
      </c>
      <c r="D32" s="18">
        <v>45230.0</v>
      </c>
      <c r="E32" t="s">
        <v>194</v>
      </c>
      <c r="F32" s="3" t="s">
        <v>79</v>
      </c>
      <c r="G32" t="s">
        <v>80</v>
      </c>
      <c r="H32" s="3" t="s">
        <v>102</v>
      </c>
      <c r="I32" s="4">
        <v>1.0</v>
      </c>
      <c r="J32" t="s">
        <v>139</v>
      </c>
      <c r="K32" t="s">
        <v>104</v>
      </c>
      <c r="L32" t="s">
        <v>189</v>
      </c>
    </row>
    <row r="33" spans="1:36">
      <c r="A33" s="3">
        <v>32</v>
      </c>
      <c r="B33" t="s">
        <v>99</v>
      </c>
      <c r="C33" s="3" t="s">
        <v>195</v>
      </c>
      <c r="D33" s="18">
        <v>45244.0</v>
      </c>
      <c r="E33" t="s">
        <v>179</v>
      </c>
      <c r="F33" s="3" t="s">
        <v>79</v>
      </c>
      <c r="G33" t="s">
        <v>80</v>
      </c>
      <c r="H33" s="3" t="s">
        <v>102</v>
      </c>
      <c r="I33" s="4">
        <v>1.0</v>
      </c>
      <c r="J33" t="s">
        <v>139</v>
      </c>
      <c r="K33" t="s">
        <v>104</v>
      </c>
      <c r="L33" t="s">
        <v>196</v>
      </c>
    </row>
    <row r="34" spans="1:36">
      <c r="A34" s="3">
        <v>33</v>
      </c>
      <c r="B34" t="s">
        <v>99</v>
      </c>
      <c r="C34" s="3" t="s">
        <v>197</v>
      </c>
      <c r="D34" s="18">
        <v>45350.0</v>
      </c>
      <c r="E34" t="s">
        <v>138</v>
      </c>
      <c r="F34" s="3" t="s">
        <v>79</v>
      </c>
      <c r="G34" t="s">
        <v>80</v>
      </c>
      <c r="H34" s="3" t="s">
        <v>102</v>
      </c>
      <c r="I34" s="4">
        <v>1.0</v>
      </c>
      <c r="J34" t="s">
        <v>139</v>
      </c>
      <c r="K34" t="s">
        <v>104</v>
      </c>
      <c r="L34" t="s">
        <v>198</v>
      </c>
    </row>
    <row r="35" spans="1:36">
      <c r="A35" s="3">
        <v>34</v>
      </c>
      <c r="B35" t="s">
        <v>106</v>
      </c>
      <c r="C35" s="3" t="s">
        <v>199</v>
      </c>
      <c r="D35" s="18">
        <v>45362.0</v>
      </c>
      <c r="E35" t="s">
        <v>200</v>
      </c>
      <c r="F35" s="3" t="s">
        <v>79</v>
      </c>
      <c r="G35" t="s">
        <v>80</v>
      </c>
      <c r="H35" s="3" t="s">
        <v>102</v>
      </c>
      <c r="I35" s="4">
        <v>1.0</v>
      </c>
      <c r="J35" t="s">
        <v>139</v>
      </c>
      <c r="K35" t="s">
        <v>124</v>
      </c>
      <c r="L35" t="s">
        <v>201</v>
      </c>
    </row>
    <row r="36" spans="1:36">
      <c r="A36" s="3">
        <v>35</v>
      </c>
      <c r="B36" t="s">
        <v>121</v>
      </c>
      <c r="C36" s="3" t="s">
        <v>202</v>
      </c>
      <c r="D36" s="18">
        <v>45049.0</v>
      </c>
      <c r="E36" t="s">
        <v>203</v>
      </c>
      <c r="F36" s="3" t="s">
        <v>67</v>
      </c>
      <c r="G36" t="s">
        <v>68</v>
      </c>
      <c r="H36" s="3" t="s">
        <v>102</v>
      </c>
      <c r="I36" s="4">
        <v>1.0</v>
      </c>
      <c r="J36" t="s">
        <v>204</v>
      </c>
      <c r="K36" t="s">
        <v>124</v>
      </c>
      <c r="L36" t="s">
        <v>205</v>
      </c>
    </row>
    <row r="37" spans="1:36">
      <c r="A37" s="3">
        <v>36</v>
      </c>
      <c r="B37" t="s">
        <v>121</v>
      </c>
      <c r="C37" s="3" t="s">
        <v>206</v>
      </c>
      <c r="D37" s="18">
        <v>45079.0</v>
      </c>
      <c r="E37" t="s">
        <v>203</v>
      </c>
      <c r="F37" s="3" t="s">
        <v>61</v>
      </c>
      <c r="G37" t="s">
        <v>62</v>
      </c>
      <c r="H37" s="3" t="s">
        <v>102</v>
      </c>
      <c r="I37" s="4">
        <v>1.0</v>
      </c>
      <c r="J37" t="s">
        <v>204</v>
      </c>
      <c r="K37" t="s">
        <v>104</v>
      </c>
      <c r="L37" t="s">
        <v>207</v>
      </c>
    </row>
    <row r="38" spans="1:36">
      <c r="A38" s="3">
        <v>37</v>
      </c>
      <c r="B38" t="s">
        <v>99</v>
      </c>
      <c r="C38" s="3" t="s">
        <v>208</v>
      </c>
      <c r="D38" s="18">
        <v>45355.0</v>
      </c>
      <c r="E38" t="s">
        <v>138</v>
      </c>
      <c r="F38" s="3" t="s">
        <v>59</v>
      </c>
      <c r="G38" t="s">
        <v>60</v>
      </c>
      <c r="H38" s="3" t="s">
        <v>102</v>
      </c>
      <c r="I38" s="4">
        <v>3.0</v>
      </c>
      <c r="J38" t="s">
        <v>204</v>
      </c>
      <c r="K38" t="s">
        <v>104</v>
      </c>
      <c r="L38" t="s">
        <v>209</v>
      </c>
    </row>
    <row r="39" spans="1:36">
      <c r="A39" s="3">
        <v>38</v>
      </c>
      <c r="B39" t="s">
        <v>99</v>
      </c>
      <c r="C39" s="3" t="s">
        <v>210</v>
      </c>
      <c r="D39" s="18">
        <v>45230.0</v>
      </c>
      <c r="E39" t="s">
        <v>138</v>
      </c>
      <c r="F39" s="3" t="s">
        <v>82</v>
      </c>
      <c r="G39" t="s">
        <v>83</v>
      </c>
      <c r="H39" s="3" t="s">
        <v>102</v>
      </c>
      <c r="I39" s="4">
        <v>1.0</v>
      </c>
      <c r="J39" t="s">
        <v>204</v>
      </c>
      <c r="K39" t="s">
        <v>104</v>
      </c>
      <c r="L39" t="s">
        <v>211</v>
      </c>
    </row>
    <row r="40" spans="1:36">
      <c r="A40" s="3">
        <v>39</v>
      </c>
      <c r="B40" t="s">
        <v>212</v>
      </c>
      <c r="C40" s="3" t="s">
        <v>213</v>
      </c>
      <c r="D40" s="18">
        <v>45142.0</v>
      </c>
      <c r="E40" t="s">
        <v>214</v>
      </c>
      <c r="F40" s="3" t="s">
        <v>43</v>
      </c>
      <c r="G40" t="s">
        <v>44</v>
      </c>
      <c r="H40" s="3" t="s">
        <v>102</v>
      </c>
      <c r="I40" s="4">
        <v>1.0</v>
      </c>
      <c r="J40" t="s">
        <v>109</v>
      </c>
      <c r="K40" t="s">
        <v>124</v>
      </c>
      <c r="L40" t="s">
        <v>215</v>
      </c>
    </row>
    <row r="41" spans="1:36">
      <c r="A41" s="3">
        <v>40</v>
      </c>
      <c r="B41" t="s">
        <v>99</v>
      </c>
      <c r="C41" s="3" t="s">
        <v>216</v>
      </c>
      <c r="D41" s="18">
        <v>44960.0</v>
      </c>
      <c r="E41" t="s">
        <v>217</v>
      </c>
      <c r="F41" s="3" t="s">
        <v>63</v>
      </c>
      <c r="G41" t="s">
        <v>64</v>
      </c>
      <c r="H41" s="3" t="s">
        <v>102</v>
      </c>
      <c r="I41" s="4">
        <v>1.0</v>
      </c>
      <c r="J41" t="s">
        <v>139</v>
      </c>
      <c r="K41" t="s">
        <v>104</v>
      </c>
      <c r="L41" t="s">
        <v>218</v>
      </c>
    </row>
    <row r="42" spans="1:36">
      <c r="A42" s="3">
        <v>41</v>
      </c>
      <c r="B42" t="s">
        <v>99</v>
      </c>
      <c r="C42" s="3" t="s">
        <v>219</v>
      </c>
      <c r="D42" s="18">
        <v>44975.0</v>
      </c>
      <c r="E42" t="s">
        <v>101</v>
      </c>
      <c r="F42" s="3" t="s">
        <v>63</v>
      </c>
      <c r="G42" t="s">
        <v>64</v>
      </c>
      <c r="H42" s="3" t="s">
        <v>102</v>
      </c>
      <c r="I42" s="4">
        <v>1.0</v>
      </c>
      <c r="J42" t="s">
        <v>139</v>
      </c>
      <c r="K42" t="s">
        <v>104</v>
      </c>
      <c r="L42" t="s">
        <v>220</v>
      </c>
    </row>
    <row r="43" spans="1:36">
      <c r="A43" s="3">
        <v>42</v>
      </c>
      <c r="B43" t="s">
        <v>99</v>
      </c>
      <c r="C43" s="3" t="s">
        <v>221</v>
      </c>
      <c r="D43" s="18">
        <v>44979.0</v>
      </c>
      <c r="E43" t="s">
        <v>222</v>
      </c>
      <c r="F43" s="3" t="s">
        <v>63</v>
      </c>
      <c r="G43" t="s">
        <v>64</v>
      </c>
      <c r="H43" s="3" t="s">
        <v>102</v>
      </c>
      <c r="I43" s="4">
        <v>1.0</v>
      </c>
      <c r="J43" t="s">
        <v>139</v>
      </c>
      <c r="K43" t="s">
        <v>104</v>
      </c>
      <c r="L43" t="s">
        <v>223</v>
      </c>
    </row>
    <row r="44" spans="1:36">
      <c r="A44" s="3">
        <v>43</v>
      </c>
      <c r="B44" t="s">
        <v>212</v>
      </c>
      <c r="C44" s="3" t="s">
        <v>224</v>
      </c>
      <c r="D44" s="18">
        <v>44987.0</v>
      </c>
      <c r="E44" t="s">
        <v>225</v>
      </c>
      <c r="F44" s="3" t="s">
        <v>63</v>
      </c>
      <c r="G44" t="s">
        <v>64</v>
      </c>
      <c r="H44" s="3" t="s">
        <v>102</v>
      </c>
      <c r="I44" s="4">
        <v>1.0</v>
      </c>
      <c r="J44" t="s">
        <v>139</v>
      </c>
      <c r="K44" t="s">
        <v>124</v>
      </c>
      <c r="L44" t="s">
        <v>226</v>
      </c>
    </row>
    <row r="45" spans="1:36">
      <c r="A45" s="3">
        <v>44</v>
      </c>
      <c r="B45" t="s">
        <v>99</v>
      </c>
      <c r="C45" s="3" t="s">
        <v>227</v>
      </c>
      <c r="D45" s="18">
        <v>45027.0</v>
      </c>
      <c r="E45" t="s">
        <v>228</v>
      </c>
      <c r="F45" s="3" t="s">
        <v>63</v>
      </c>
      <c r="G45" t="s">
        <v>64</v>
      </c>
      <c r="H45" s="3" t="s">
        <v>102</v>
      </c>
      <c r="I45" s="4">
        <v>1.0</v>
      </c>
      <c r="J45" t="s">
        <v>139</v>
      </c>
      <c r="K45" t="s">
        <v>104</v>
      </c>
      <c r="L45" t="s">
        <v>229</v>
      </c>
    </row>
    <row r="46" spans="1:36">
      <c r="A46" s="3">
        <v>45</v>
      </c>
      <c r="B46" t="s">
        <v>99</v>
      </c>
      <c r="C46" s="3" t="s">
        <v>230</v>
      </c>
      <c r="D46" s="18">
        <v>45028.0</v>
      </c>
      <c r="E46" t="s">
        <v>115</v>
      </c>
      <c r="F46" s="3" t="s">
        <v>63</v>
      </c>
      <c r="G46" t="s">
        <v>64</v>
      </c>
      <c r="H46" s="3" t="s">
        <v>102</v>
      </c>
      <c r="I46" s="4">
        <v>1.0</v>
      </c>
      <c r="J46" t="s">
        <v>139</v>
      </c>
      <c r="K46" t="s">
        <v>104</v>
      </c>
      <c r="L46" t="s">
        <v>231</v>
      </c>
    </row>
    <row r="47" spans="1:36">
      <c r="A47" s="3">
        <v>46</v>
      </c>
      <c r="B47" t="s">
        <v>106</v>
      </c>
      <c r="C47" s="3" t="s">
        <v>232</v>
      </c>
      <c r="D47" s="18">
        <v>45040.0</v>
      </c>
      <c r="E47" t="s">
        <v>233</v>
      </c>
      <c r="F47" s="3" t="s">
        <v>63</v>
      </c>
      <c r="G47" t="s">
        <v>64</v>
      </c>
      <c r="H47" s="3" t="s">
        <v>102</v>
      </c>
      <c r="I47" s="4">
        <v>1.0</v>
      </c>
      <c r="J47" t="s">
        <v>139</v>
      </c>
      <c r="K47" t="s">
        <v>104</v>
      </c>
      <c r="L47" t="s">
        <v>234</v>
      </c>
    </row>
    <row r="48" spans="1:36">
      <c r="A48" s="3">
        <v>47</v>
      </c>
      <c r="B48" t="s">
        <v>106</v>
      </c>
      <c r="C48" s="3" t="s">
        <v>232</v>
      </c>
      <c r="D48" s="18">
        <v>45040.0</v>
      </c>
      <c r="E48" t="s">
        <v>233</v>
      </c>
      <c r="F48" s="3" t="s">
        <v>63</v>
      </c>
      <c r="G48" t="s">
        <v>64</v>
      </c>
      <c r="H48" s="3" t="s">
        <v>102</v>
      </c>
      <c r="I48" s="4">
        <v>1.0</v>
      </c>
      <c r="J48" t="s">
        <v>139</v>
      </c>
      <c r="K48" t="s">
        <v>104</v>
      </c>
      <c r="L48" t="s">
        <v>235</v>
      </c>
    </row>
    <row r="49" spans="1:36">
      <c r="A49" s="3">
        <v>48</v>
      </c>
      <c r="B49" t="s">
        <v>106</v>
      </c>
      <c r="C49" s="3" t="s">
        <v>236</v>
      </c>
      <c r="D49" s="18">
        <v>45238.0</v>
      </c>
      <c r="E49" t="s">
        <v>237</v>
      </c>
      <c r="F49" s="3" t="s">
        <v>63</v>
      </c>
      <c r="G49" t="s">
        <v>64</v>
      </c>
      <c r="H49" s="3" t="s">
        <v>102</v>
      </c>
      <c r="I49" s="4">
        <v>1.0</v>
      </c>
      <c r="J49" t="s">
        <v>139</v>
      </c>
      <c r="K49" t="s">
        <v>104</v>
      </c>
      <c r="L49" t="s">
        <v>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2024-03-19T14:30:43+07:00</dcterms:created>
  <dcterms:modified xsi:type="dcterms:W3CDTF">2024-03-19T14:30:43+07:00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