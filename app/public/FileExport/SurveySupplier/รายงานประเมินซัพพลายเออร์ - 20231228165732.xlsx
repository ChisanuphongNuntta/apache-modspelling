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<sst xmlns="http://schemas.openxmlformats.org/spreadsheetml/2006/main" uniqueCount="205">
  <si>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</si>
  <si>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</si>
  <si>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</si>
  <si>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</si>
  <si>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</si>
  <si>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</si>
  <si>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</si>
  <si>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</si>
  <si>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</si>
  <si>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</si>
  <si>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</si>
  <si>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</si>
  <si>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</si>
  <si>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</si>
  <si>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</si>
  <si>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</si>
  <si>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</si>
  <si>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</si>
  <si>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</si>
  <si>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</si>
  <si>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</si>
  <si>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</si>
  <si>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</si>
  <si>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</si>
  <si>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</si>
  <si>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</si>
  <si>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</si>
  <si>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</si>
  <si>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</si>
  <si>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</si>
  <si>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</si>
  <si>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</si>
  <si>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</si>
  <si>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</si>
  <si>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</si>
  <si>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</si>
  <si>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</si>
  <si>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</si>
  <si>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</si>
  <si>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</si>
  <si>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</si>
  <si>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</si>
  <si>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</si>
  <si>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05-015-021</t>
  </si>
  <si>
    <t>ปั๊มลมโรตารี่ 50 ลิตร</t>
  </si>
  <si>
    <t>A</t>
  </si>
  <si>
    <t>05-015-020</t>
  </si>
  <si>
    <t>ปั๊มลมโรตารี่ 30 ลิตร</t>
  </si>
  <si>
    <t>05-015-322</t>
  </si>
  <si>
    <t>ปั๊มลม OS 24B1 750W x 1</t>
  </si>
  <si>
    <t>05-015-265</t>
  </si>
  <si>
    <t>ปั๊มลมสายพาน EUROX 3HP 100L</t>
  </si>
  <si>
    <t>M</t>
  </si>
  <si>
    <t>10-520-550</t>
  </si>
  <si>
    <t>OS25/OS50 Solenoid Valve</t>
  </si>
  <si>
    <t>10-503-400</t>
  </si>
  <si>
    <t>EU2530/50 No.40 ชุดมอเตอร์</t>
  </si>
  <si>
    <t>D</t>
  </si>
  <si>
    <t>10-520-530</t>
  </si>
  <si>
    <t>OS25/OS50 Presure Switch</t>
  </si>
  <si>
    <t>10-540-016</t>
  </si>
  <si>
    <t>OS50L 750W NO.16 Cylinder</t>
  </si>
  <si>
    <t>DEAD</t>
  </si>
  <si>
    <t>10-520-010</t>
  </si>
  <si>
    <t>OS25/OS50 หม้อกรองอากาศ</t>
  </si>
  <si>
    <t>10-520-410</t>
  </si>
  <si>
    <t>OS25/OS50 Capacitor 20F</t>
  </si>
  <si>
    <t>10-503-600</t>
  </si>
  <si>
    <t>EU2530/50 No.60 ล้อ</t>
  </si>
  <si>
    <t>D22</t>
  </si>
  <si>
    <t>03-003-106</t>
  </si>
  <si>
    <t>ตัวดักน้ำอย่างเดียว1/4" AFR2000 (สีแดง)</t>
  </si>
  <si>
    <t>D21</t>
  </si>
  <si>
    <t>05-015-202</t>
  </si>
  <si>
    <t>ปั๊มลมสายพาน 1HP 36L (เบอร์5)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</si>
  <si>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</si>
  <si>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</si>
  <si>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</si>
  <si>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</si>
  <si>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</si>
  <si>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</si>
  <si>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05-015-323</t>
  </si>
  <si>
    <t>ปั๊มลม OS 24L EUROX 1600W Black Edition</t>
  </si>
  <si>
    <t>N</t>
  </si>
  <si>
    <t>05-015-325</t>
  </si>
  <si>
    <t>ปั๊มลม OS 35L 550W EUROX ถังตั้ง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</si>
  <si>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</si>
  <si>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</si>
  <si>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</si>
  <si>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</si>
  <si>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</si>
  <si>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</si>
  <si>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10-503-610</t>
  </si>
  <si>
    <t>EU2530/50 No.61 น๊อตล้อยาว(ตัวผู้)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</si>
  <si>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</si>
  <si>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</si>
  <si>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</si>
  <si>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</si>
  <si>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</si>
  <si>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</si>
  <si>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</si>
  <si>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</si>
  <si>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</si>
  <si>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</si>
  <si>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</si>
  <si>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</si>
  <si>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</si>
  <si>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</si>
  <si>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</si>
  <si>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</si>
  <si>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</si>
  <si>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</si>
  <si>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</si>
  <si>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</si>
  <si>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</si>
  <si>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</si>
  <si>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</si>
  <si>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</si>
  <si>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</si>
  <si>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</si>
  <si>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</si>
  <si>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</si>
  <si>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</si>
  <si>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</si>
  <si>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</si>
  <si>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</si>
  <si>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</si>
  <si>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</si>
  <si>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</si>
  <si>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</si>
  <si>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</si>
  <si>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RN-65052067</t>
  </si>
  <si>
    <t>M-00170 - โฮมมอลล์ ( มือปืน)</t>
  </si>
  <si>
    <t>WP5</t>
  </si>
  <si>
    <t>ตัว</t>
  </si>
  <si>
    <t>สินค้าชำรุดสภาพดี AX</t>
  </si>
  <si>
    <t>มอเตอร์ซ็อตและเครื่องไม่ทำงาน</t>
  </si>
  <si>
    <t>PE-65051036</t>
  </si>
  <si>
    <t>C-06529 - พัทยาสตีล</t>
  </si>
  <si>
    <t>ชำรุดจากโรงงาน</t>
  </si>
  <si>
    <t>ตัวถังรั่วเชื่อมไม่ดีเป็นรู</t>
  </si>
  <si>
    <t>ฝ่ายขายโมเดิร์นเทรด 2</t>
  </si>
  <si>
    <t>RN-65072035</t>
  </si>
  <si>
    <t>M-00342 - โฮมโปรดักส์ เซ็นเตอร์ (สาขาเมกาโฮม-บ้านฉาง)สาขาที่00115</t>
  </si>
  <si>
    <t>ลูกสูบติด</t>
  </si>
  <si>
    <t>ฝ่ายขายโมเดิร์นเทรด 1</t>
  </si>
  <si>
    <t>PN-65084013</t>
  </si>
  <si>
    <t>M-00276 - ต.แสงชัยชุมแพ (1985) จำกัด</t>
  </si>
  <si>
    <t>ไม่ปั๊มลม ไม่มีคู่มือ, น็อตใส่ล้อและลูกยางใส่ปั๊มลมล้อหน้า 2 อัน</t>
  </si>
  <si>
    <t>PE-66051039</t>
  </si>
  <si>
    <t>C-05753 - มามาโฮมมาร์ท (SM มือปืน)</t>
  </si>
  <si>
    <t>ถังรั่ว</t>
  </si>
  <si>
    <t>RN-65032039</t>
  </si>
  <si>
    <t>C-03817 - เจริญสุขโฮมพลัส(SM TT PC)</t>
  </si>
  <si>
    <t>ไม่มีโอเวอร์โหลด</t>
  </si>
  <si>
    <t>RN-65072032</t>
  </si>
  <si>
    <t>M-00050 - โฮมฮับ -อุดรธานี สาขา 00004</t>
  </si>
  <si>
    <t>เพรสเชอร์สวิทซ์ซ็อต</t>
  </si>
  <si>
    <t>PN-65084014</t>
  </si>
  <si>
    <t>M-00310 - ไทยเพิ่มพูลโฮมช็อป (พังโคน)</t>
  </si>
  <si>
    <t>เพรสเชอร์ช็อตไหม้</t>
  </si>
  <si>
    <t>PN-66014032</t>
  </si>
  <si>
    <t>M-00315 - โฮมฮับ - ทัพไท (สาขาที่ 5)</t>
  </si>
  <si>
    <t>PCS</t>
  </si>
  <si>
    <t>ลมรั่วตามด</t>
  </si>
  <si>
    <t>PN-66024044</t>
  </si>
  <si>
    <t>M-00159 - ศิริมหาชัย ศรีสะเกษ</t>
  </si>
  <si>
    <t>PE-66031015</t>
  </si>
  <si>
    <t>C-09523 - ชัยเสถียร(ไชยปราการ)</t>
  </si>
  <si>
    <t>มอเตอร์ไม่ทำงาน/ช็อต</t>
  </si>
  <si>
    <t>PE-66051022</t>
  </si>
  <si>
    <t>C-02734 - ไถ่เชียงวัสดุก่อสร้าง (แยกปฐมพร) SM TT PC</t>
  </si>
  <si>
    <t>รั่วตามด</t>
  </si>
  <si>
    <t>PE-66051043</t>
  </si>
  <si>
    <t>M-00246 - ไอดีโฮม 2015(SM TT PC)</t>
  </si>
  <si>
    <t>ฝาสูบแตก</t>
  </si>
  <si>
    <t>PN-66074028</t>
  </si>
  <si>
    <t>มอเตอร์ซ็อต</t>
  </si>
  <si>
    <t>PE-66081022</t>
  </si>
  <si>
    <t>C-12661 - คิงส์โฮม(2018)</t>
  </si>
  <si>
    <t>สิ่งที่ตรวจพบว่าsafety valve หัก</t>
  </si>
  <si>
    <t>PN-66094008</t>
  </si>
  <si>
    <t>M-00472 - บริษัท จำลองชัยโฮมเซ็นเตอร์ จำกัด</t>
  </si>
  <si>
    <t>มอเตอร์ซ็อต, เสียบปลั๊กแล้วมีเสียงแต่ไม่ทำงาน</t>
  </si>
  <si>
    <t>PN-66104006</t>
  </si>
  <si>
    <t>เครื่องไม่ทำงาน (มอเตอร์ซ็อต)</t>
  </si>
  <si>
    <t>RN-66082025</t>
  </si>
  <si>
    <t>C-12058 - โฮมพลัส สโตร์(SM PC)</t>
  </si>
  <si>
    <t>ถังรั่วตามด</t>
  </si>
  <si>
    <t>PE-66081010</t>
  </si>
  <si>
    <t>M-00492 - โฮมโปรดักส์ เซ็นเตอร์ (สาขาเมกาโฮม-เชียงใหม่) สาขาที่00143</t>
  </si>
  <si>
    <t>มอเตอร์ช็อตเสียลองเปลี่ยนคาปาแล้วไม่ติด</t>
  </si>
  <si>
    <t>PN-66124001</t>
  </si>
  <si>
    <t>A-00270 - สมยศ สุขสาคร (กบ)</t>
  </si>
  <si>
    <t>ฐานล้อไม่ได้เชื่อมมา</t>
  </si>
  <si>
    <t>PN-65044003</t>
  </si>
  <si>
    <t>M-00292 - ไทยเพิ่มพูลโฮมช็อป (กุฉินารายณ์)</t>
  </si>
  <si>
    <t>สินค้าชำรุดมากสภาพ BX</t>
  </si>
  <si>
    <t>ยางล้อแตก</t>
  </si>
  <si>
    <t>PN-65074017</t>
  </si>
  <si>
    <t>M-00337 - ไทยเพิ่มพูลโฮมช็อป (มหาสารคาม)</t>
  </si>
  <si>
    <t>ล้อแตก</t>
  </si>
  <si>
    <t>PN-65094018</t>
  </si>
  <si>
    <t>M-00154 - ศิริมหาชัย อุบลราชธานี</t>
  </si>
  <si>
    <t>ยางเสื่อมสภาพ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</si>
</sst>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8" sqref="AW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570.0</v>
      </c>
      <c r="F3" s="5">
        <v>1374306.7</v>
      </c>
      <c r="G3" s="4">
        <v>740.0</v>
      </c>
      <c r="H3" s="5">
        <v>2068668.304</v>
      </c>
      <c r="I3" s="4">
        <v>115.0</v>
      </c>
      <c r="J3" s="5">
        <v>275710.7</v>
      </c>
      <c r="K3" s="4">
        <v>484.909082</v>
      </c>
      <c r="L3" s="5">
        <v>1206807.779646</v>
      </c>
      <c r="M3" s="6">
        <v>0.76284214037468</v>
      </c>
      <c r="N3" s="4">
        <v>451.0</v>
      </c>
      <c r="O3" s="4">
        <v>41.0</v>
      </c>
      <c r="P3" s="4">
        <v>396.0</v>
      </c>
      <c r="Q3" s="4">
        <v>34.636363</v>
      </c>
      <c r="R3" s="4">
        <v>65.0</v>
      </c>
      <c r="S3" s="5">
        <v>161767.45</v>
      </c>
      <c r="T3" s="4">
        <v>33.0</v>
      </c>
      <c r="U3" s="7">
        <v>1.969696969697</v>
      </c>
      <c r="V3" s="5">
        <v>1195608.137</v>
      </c>
      <c r="W3" s="5">
        <v>2651.0158248337</v>
      </c>
      <c r="X3" s="5">
        <v>1697724.22</v>
      </c>
      <c r="Y3" s="5">
        <v>3764.3552549889</v>
      </c>
      <c r="Z3" s="5">
        <v>502116.083</v>
      </c>
      <c r="AA3" s="5">
        <v>1113.3394301552</v>
      </c>
      <c r="AB3" s="8">
        <v>0.2957583317036</v>
      </c>
      <c r="AC3" s="4">
        <v>451.0</v>
      </c>
      <c r="AD3" s="4">
        <v>3.0</v>
      </c>
      <c r="AE3" s="4">
        <v>12.0</v>
      </c>
      <c r="AF3" s="9">
        <v>0</v>
      </c>
      <c r="AG3" s="10">
        <v>0.026607538802661</v>
      </c>
      <c r="AH3" s="4">
        <v>1.0</v>
      </c>
      <c r="AI3" s="5">
        <v>2488.73</v>
      </c>
      <c r="AJ3" s="5">
        <v>1128444.308</v>
      </c>
      <c r="AK3" s="5">
        <v>2849.6068383838</v>
      </c>
      <c r="AL3" s="5">
        <v>1571509.063</v>
      </c>
      <c r="AM3" s="5">
        <v>3968.457229798</v>
      </c>
      <c r="AN3" s="5">
        <v>443064.755</v>
      </c>
      <c r="AO3" s="5">
        <v>1118.8503914141</v>
      </c>
      <c r="AP3" s="8">
        <v>0.28193585734351</v>
      </c>
      <c r="AQ3" s="4">
        <v>396.0</v>
      </c>
      <c r="AR3" s="4">
        <v>9.0</v>
      </c>
      <c r="AS3" s="9">
        <v>0</v>
      </c>
      <c r="AT3" s="9">
        <v>0</v>
      </c>
      <c r="AU3" s="3">
        <v>0</v>
      </c>
      <c r="AV3" s="4">
        <v>1.0</v>
      </c>
      <c r="AW3" s="5">
        <v>2488.73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306.0</v>
      </c>
      <c r="F4" s="5">
        <v>643952.4</v>
      </c>
      <c r="G4" s="4">
        <v>373.0</v>
      </c>
      <c r="H4" s="5">
        <v>926161.57</v>
      </c>
      <c r="I4" s="4">
        <v>191.0</v>
      </c>
      <c r="J4" s="5">
        <v>417022.07</v>
      </c>
      <c r="K4" s="4">
        <v>281.272726</v>
      </c>
      <c r="L4" s="5">
        <v>634385.318948</v>
      </c>
      <c r="M4" s="6">
        <v>0.32094375904758</v>
      </c>
      <c r="N4" s="4">
        <v>320.0</v>
      </c>
      <c r="O4" s="4">
        <v>29.0</v>
      </c>
      <c r="P4" s="4">
        <v>225.0</v>
      </c>
      <c r="Q4" s="4">
        <v>20.090909</v>
      </c>
      <c r="R4" s="4">
        <v>114.0</v>
      </c>
      <c r="S4" s="5">
        <v>257116.74</v>
      </c>
      <c r="T4" s="4">
        <v>18.75</v>
      </c>
      <c r="U4" s="11">
        <v>6.08</v>
      </c>
      <c r="V4" s="5">
        <v>741579.926</v>
      </c>
      <c r="W4" s="5">
        <v>2317.43726875</v>
      </c>
      <c r="X4" s="5">
        <v>982866.94</v>
      </c>
      <c r="Y4" s="5">
        <v>3071.4591875</v>
      </c>
      <c r="Z4" s="5">
        <v>241287.014</v>
      </c>
      <c r="AA4" s="5">
        <v>754.02191875</v>
      </c>
      <c r="AB4" s="12">
        <v>0.24549306134969</v>
      </c>
      <c r="AC4" s="4">
        <v>320.0</v>
      </c>
      <c r="AD4" s="4">
        <v>4.0</v>
      </c>
      <c r="AE4" s="4">
        <v>4.0</v>
      </c>
      <c r="AF4" s="9">
        <v>0</v>
      </c>
      <c r="AG4" s="10">
        <v>0.0125</v>
      </c>
      <c r="AH4" s="9">
        <v>0</v>
      </c>
      <c r="AI4" s="9">
        <v>0</v>
      </c>
      <c r="AJ4" s="5">
        <v>553372.767</v>
      </c>
      <c r="AK4" s="5">
        <v>2459.43452</v>
      </c>
      <c r="AL4" s="5">
        <v>757781.679</v>
      </c>
      <c r="AM4" s="5">
        <v>3367.9185733333</v>
      </c>
      <c r="AN4" s="5">
        <v>204408.912</v>
      </c>
      <c r="AO4" s="5">
        <v>908.48405333333</v>
      </c>
      <c r="AP4" s="8">
        <v>0.26974644236549</v>
      </c>
      <c r="AQ4" s="4">
        <v>225.0</v>
      </c>
      <c r="AR4" s="4">
        <v>1.0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115.0</v>
      </c>
      <c r="F5" s="5">
        <v>279916.095</v>
      </c>
      <c r="G5" s="4">
        <v>149.0</v>
      </c>
      <c r="H5" s="5">
        <v>436042.689</v>
      </c>
      <c r="I5" s="4">
        <v>40.0</v>
      </c>
      <c r="J5" s="5">
        <v>108881.6</v>
      </c>
      <c r="K5" s="4">
        <v>115.818178</v>
      </c>
      <c r="L5" s="5">
        <v>315261.713243</v>
      </c>
      <c r="M5" s="6">
        <v>0.65463107181672</v>
      </c>
      <c r="N5" s="4">
        <v>82.0</v>
      </c>
      <c r="O5" s="4">
        <v>8.181818</v>
      </c>
      <c r="P5" s="4">
        <v>91.0</v>
      </c>
      <c r="Q5" s="4">
        <v>8.272727</v>
      </c>
      <c r="R5" s="4">
        <v>39.0</v>
      </c>
      <c r="S5" s="5">
        <v>106159.56</v>
      </c>
      <c r="T5" s="4">
        <v>7.583333</v>
      </c>
      <c r="U5" s="13">
        <v>5.1428573689168</v>
      </c>
      <c r="V5" s="5">
        <v>229629.2</v>
      </c>
      <c r="W5" s="5">
        <v>2800.356097561</v>
      </c>
      <c r="X5" s="5">
        <v>301761.875</v>
      </c>
      <c r="Y5" s="5">
        <v>3680.0228658537</v>
      </c>
      <c r="Z5" s="5">
        <v>72132.675</v>
      </c>
      <c r="AA5" s="5">
        <v>879.66676829268</v>
      </c>
      <c r="AB5" s="12">
        <v>0.23903839741187</v>
      </c>
      <c r="AC5" s="4">
        <v>82.0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264664.474</v>
      </c>
      <c r="AK5" s="5">
        <v>2908.4008131868</v>
      </c>
      <c r="AL5" s="5">
        <v>358510.41</v>
      </c>
      <c r="AM5" s="5">
        <v>3939.6748351648</v>
      </c>
      <c r="AN5" s="5">
        <v>93845.936</v>
      </c>
      <c r="AO5" s="5">
        <v>1031.274021978</v>
      </c>
      <c r="AP5" s="8">
        <v>0.26176627897639</v>
      </c>
      <c r="AQ5" s="4">
        <v>91.0</v>
      </c>
      <c r="AR5" s="4">
        <v>1.0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52</v>
      </c>
      <c r="E6" s="9">
        <v>0</v>
      </c>
      <c r="F6" s="9">
        <v>0</v>
      </c>
      <c r="G6" s="4">
        <v>30.0</v>
      </c>
      <c r="H6" s="5">
        <v>248510.91</v>
      </c>
      <c r="I6" s="4">
        <v>120.0</v>
      </c>
      <c r="J6" s="5">
        <v>905169.39</v>
      </c>
      <c r="K6" s="4">
        <v>22.909082</v>
      </c>
      <c r="L6" s="5">
        <v>173660.921556</v>
      </c>
      <c r="M6" s="14">
        <v>-4.2380972751331</v>
      </c>
      <c r="N6" s="4">
        <v>30.0</v>
      </c>
      <c r="O6" s="4">
        <v>2.727272</v>
      </c>
      <c r="P6" s="4">
        <v>17.0</v>
      </c>
      <c r="Q6" s="4">
        <v>1.636363</v>
      </c>
      <c r="R6" s="4">
        <v>100.0</v>
      </c>
      <c r="S6" s="5">
        <v>758044.0</v>
      </c>
      <c r="T6" s="4">
        <v>1.416666</v>
      </c>
      <c r="U6" s="11">
        <v>70.588268512126</v>
      </c>
      <c r="V6" s="5">
        <v>248510.91</v>
      </c>
      <c r="W6" s="5">
        <v>8283.697</v>
      </c>
      <c r="X6" s="5">
        <v>321121.504</v>
      </c>
      <c r="Y6" s="5">
        <v>10704.050133333</v>
      </c>
      <c r="Z6" s="5">
        <v>72610.594</v>
      </c>
      <c r="AA6" s="5">
        <v>2420.3531333333</v>
      </c>
      <c r="AB6" s="12">
        <v>0.2261156387708</v>
      </c>
      <c r="AC6" s="4">
        <v>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135080.1</v>
      </c>
      <c r="AK6" s="5">
        <v>7945.8882352941</v>
      </c>
      <c r="AL6" s="5">
        <v>167289.724</v>
      </c>
      <c r="AM6" s="5">
        <v>9840.572</v>
      </c>
      <c r="AN6" s="5">
        <v>32209.624</v>
      </c>
      <c r="AO6" s="5">
        <v>1894.6837647059</v>
      </c>
      <c r="AP6" s="12">
        <v>0.19253797083197</v>
      </c>
      <c r="AQ6" s="4">
        <v>17.0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53</v>
      </c>
      <c r="C7" t="s">
        <v>54</v>
      </c>
      <c r="D7" s="3" t="s">
        <v>52</v>
      </c>
      <c r="E7" s="9">
        <v>0</v>
      </c>
      <c r="F7" s="9">
        <v>0</v>
      </c>
      <c r="G7" s="4">
        <v>50.0</v>
      </c>
      <c r="H7" s="5">
        <v>4078.0</v>
      </c>
      <c r="I7" s="9">
        <v>0</v>
      </c>
      <c r="J7" s="9">
        <v>0</v>
      </c>
      <c r="K7" s="4">
        <v>26.72726</v>
      </c>
      <c r="L7" s="5">
        <v>2179.875326</v>
      </c>
      <c r="M7" s="6">
        <v>1.0</v>
      </c>
      <c r="N7" s="4">
        <v>2.0</v>
      </c>
      <c r="O7" s="4">
        <v>0.181818</v>
      </c>
      <c r="P7" s="4">
        <v>21.0</v>
      </c>
      <c r="Q7" s="4">
        <v>1.90909</v>
      </c>
      <c r="R7" s="4">
        <v>26.0</v>
      </c>
      <c r="S7" s="5">
        <v>2120.56</v>
      </c>
      <c r="T7" s="4">
        <v>1.75</v>
      </c>
      <c r="U7" s="11">
        <v>14.857142857143</v>
      </c>
      <c r="V7" s="5">
        <v>127.02</v>
      </c>
      <c r="W7" s="5">
        <v>63.51</v>
      </c>
      <c r="X7" s="5">
        <v>373.832</v>
      </c>
      <c r="Y7" s="5">
        <v>186.916</v>
      </c>
      <c r="Z7" s="5">
        <v>246.812</v>
      </c>
      <c r="AA7" s="5">
        <v>123.406</v>
      </c>
      <c r="AB7" s="8">
        <v>0.66022170386698</v>
      </c>
      <c r="AC7" s="4">
        <v>2.0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1565.929</v>
      </c>
      <c r="AK7" s="5">
        <v>74.568047619048</v>
      </c>
      <c r="AL7" s="5">
        <v>3317.746</v>
      </c>
      <c r="AM7" s="5">
        <v>157.9879047619</v>
      </c>
      <c r="AN7" s="5">
        <v>1751.817</v>
      </c>
      <c r="AO7" s="5">
        <v>83.419857142857</v>
      </c>
      <c r="AP7" s="8">
        <v>0.52801420000205</v>
      </c>
      <c r="AQ7" s="4">
        <v>21.0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9">
        <v>0</v>
      </c>
      <c r="F8" s="9">
        <v>0</v>
      </c>
      <c r="G8" s="4">
        <v>5.0</v>
      </c>
      <c r="H8" s="5">
        <v>2913.395</v>
      </c>
      <c r="I8" s="9">
        <v>0</v>
      </c>
      <c r="J8" s="9">
        <v>0</v>
      </c>
      <c r="K8" s="4">
        <v>1.272726</v>
      </c>
      <c r="L8" s="5">
        <v>741.590713</v>
      </c>
      <c r="M8" s="6">
        <v>1.0</v>
      </c>
      <c r="N8" s="4">
        <v>3.0</v>
      </c>
      <c r="O8" s="4">
        <v>0.272727</v>
      </c>
      <c r="P8" s="4">
        <v>1.0</v>
      </c>
      <c r="Q8" s="4">
        <v>0.090909</v>
      </c>
      <c r="R8" s="4">
        <v>5.0</v>
      </c>
      <c r="S8" s="5">
        <v>2913.395</v>
      </c>
      <c r="T8" s="4">
        <v>0.083333</v>
      </c>
      <c r="U8" s="11">
        <v>60.00024000096</v>
      </c>
      <c r="V8" s="5">
        <v>1003.89</v>
      </c>
      <c r="W8" s="5">
        <v>334.63</v>
      </c>
      <c r="X8" s="5">
        <v>1121.495</v>
      </c>
      <c r="Y8" s="5">
        <v>373.83166666667</v>
      </c>
      <c r="Z8" s="5">
        <v>117.605</v>
      </c>
      <c r="AA8" s="5">
        <v>39.201666666667</v>
      </c>
      <c r="AB8" s="12">
        <v>0.10486448891881</v>
      </c>
      <c r="AC8" s="4">
        <v>3.0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334.63</v>
      </c>
      <c r="AK8" s="5">
        <v>334.63</v>
      </c>
      <c r="AL8" s="5">
        <v>1121.5</v>
      </c>
      <c r="AM8" s="5">
        <v>1121.5</v>
      </c>
      <c r="AN8" s="5">
        <v>786.87</v>
      </c>
      <c r="AO8" s="5">
        <v>786.87</v>
      </c>
      <c r="AP8" s="8">
        <v>0.70162282657156</v>
      </c>
      <c r="AQ8" s="4">
        <v>1.0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58</v>
      </c>
      <c r="C9" t="s">
        <v>59</v>
      </c>
      <c r="D9" s="3" t="s">
        <v>52</v>
      </c>
      <c r="E9" s="9">
        <v>0</v>
      </c>
      <c r="F9" s="9">
        <v>0</v>
      </c>
      <c r="G9" s="4">
        <v>30.0</v>
      </c>
      <c r="H9" s="5">
        <v>2330.1</v>
      </c>
      <c r="I9" s="9">
        <v>0</v>
      </c>
      <c r="J9" s="9">
        <v>0</v>
      </c>
      <c r="K9" s="4">
        <v>36.909082</v>
      </c>
      <c r="L9" s="5">
        <v>2866.728399</v>
      </c>
      <c r="M9" s="6">
        <v>1.0</v>
      </c>
      <c r="N9" s="4">
        <v>18.0</v>
      </c>
      <c r="O9" s="4">
        <v>1.636363</v>
      </c>
      <c r="P9" s="4">
        <v>29.0</v>
      </c>
      <c r="Q9" s="4">
        <v>2.636363</v>
      </c>
      <c r="R9" s="4">
        <v>23.0</v>
      </c>
      <c r="S9" s="5">
        <v>1786.41</v>
      </c>
      <c r="T9" s="4">
        <v>2.416666</v>
      </c>
      <c r="U9" s="11">
        <v>9.517244004757</v>
      </c>
      <c r="V9" s="5">
        <v>1203.12</v>
      </c>
      <c r="W9" s="5">
        <v>66.84</v>
      </c>
      <c r="X9" s="5">
        <v>3807.572</v>
      </c>
      <c r="Y9" s="5">
        <v>211.53177777778</v>
      </c>
      <c r="Z9" s="5">
        <v>2604.452</v>
      </c>
      <c r="AA9" s="5">
        <v>144.69177777778</v>
      </c>
      <c r="AB9" s="8">
        <v>0.68401910718957</v>
      </c>
      <c r="AC9" s="4">
        <v>18.0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1841.79</v>
      </c>
      <c r="AK9" s="5">
        <v>63.51</v>
      </c>
      <c r="AL9" s="5">
        <v>6041.223</v>
      </c>
      <c r="AM9" s="5">
        <v>208.31803448276</v>
      </c>
      <c r="AN9" s="5">
        <v>4199.433</v>
      </c>
      <c r="AO9" s="5">
        <v>144.80803448276</v>
      </c>
      <c r="AP9" s="8">
        <v>0.69512961200075</v>
      </c>
      <c r="AQ9" s="4">
        <v>29.0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 t="s">
        <v>57</v>
      </c>
      <c r="E10" s="9">
        <v>0</v>
      </c>
      <c r="F10" s="9">
        <v>0</v>
      </c>
      <c r="G10" s="4">
        <v>50.0</v>
      </c>
      <c r="H10" s="5">
        <v>2330.0</v>
      </c>
      <c r="I10" s="9">
        <v>0</v>
      </c>
      <c r="J10" s="9">
        <v>0</v>
      </c>
      <c r="K10" s="9">
        <v>0</v>
      </c>
      <c r="L10" s="9">
        <v>0</v>
      </c>
      <c r="M10" s="15">
        <v>0</v>
      </c>
      <c r="N10" s="4">
        <v>4.0</v>
      </c>
      <c r="O10" s="4">
        <v>0.363636</v>
      </c>
      <c r="P10" s="9">
        <v>0</v>
      </c>
      <c r="Q10" s="9">
        <v>0</v>
      </c>
      <c r="R10" s="4">
        <v>82.0</v>
      </c>
      <c r="S10" s="5">
        <v>3821.2</v>
      </c>
      <c r="T10" s="9">
        <v>0</v>
      </c>
      <c r="U10" s="16" t="s">
        <v>62</v>
      </c>
      <c r="V10" s="5">
        <v>206.0</v>
      </c>
      <c r="W10" s="5">
        <v>51.5</v>
      </c>
      <c r="X10" s="5">
        <v>1308.412</v>
      </c>
      <c r="Y10" s="5">
        <v>327.103</v>
      </c>
      <c r="Z10" s="5">
        <v>1102.412</v>
      </c>
      <c r="AA10" s="5">
        <v>275.603</v>
      </c>
      <c r="AB10" s="8">
        <v>0.8425572373228</v>
      </c>
      <c r="AC10" s="4">
        <v>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52</v>
      </c>
      <c r="E11" s="9">
        <v>0</v>
      </c>
      <c r="F11" s="9">
        <v>0</v>
      </c>
      <c r="G11" s="4">
        <v>50.0</v>
      </c>
      <c r="H11" s="5">
        <v>1359.5</v>
      </c>
      <c r="I11" s="9">
        <v>0</v>
      </c>
      <c r="J11" s="9">
        <v>0</v>
      </c>
      <c r="K11" s="4">
        <v>31.818178</v>
      </c>
      <c r="L11" s="5">
        <v>865.13626</v>
      </c>
      <c r="M11" s="6">
        <v>1.0</v>
      </c>
      <c r="N11" s="4">
        <v>22.0</v>
      </c>
      <c r="O11" s="4">
        <v>2.0</v>
      </c>
      <c r="P11" s="4">
        <v>25.0</v>
      </c>
      <c r="Q11" s="4">
        <v>2.272727</v>
      </c>
      <c r="R11" s="4">
        <v>32.0</v>
      </c>
      <c r="S11" s="5">
        <v>870.08</v>
      </c>
      <c r="T11" s="4">
        <v>2.083333</v>
      </c>
      <c r="U11" s="11">
        <v>15.3600024576</v>
      </c>
      <c r="V11" s="5">
        <v>1519.0</v>
      </c>
      <c r="W11" s="5">
        <v>69.045454545455</v>
      </c>
      <c r="X11" s="5">
        <v>794.394</v>
      </c>
      <c r="Y11" s="5">
        <v>36.108818181818</v>
      </c>
      <c r="Z11" s="5">
        <v>-724.606</v>
      </c>
      <c r="AA11" s="5">
        <v>-32.936636363636</v>
      </c>
      <c r="AB11" s="17">
        <v>-0.9121493868282</v>
      </c>
      <c r="AC11" s="4">
        <v>22.0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1391.659</v>
      </c>
      <c r="AK11" s="5">
        <v>55.66636</v>
      </c>
      <c r="AL11" s="5">
        <v>1823.336</v>
      </c>
      <c r="AM11" s="5">
        <v>72.93344</v>
      </c>
      <c r="AN11" s="5">
        <v>431.677</v>
      </c>
      <c r="AO11" s="5">
        <v>17.26708</v>
      </c>
      <c r="AP11" s="12">
        <v>0.23675120767648</v>
      </c>
      <c r="AQ11" s="4">
        <v>25.0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65</v>
      </c>
      <c r="C12" t="s">
        <v>66</v>
      </c>
      <c r="D12" s="3" t="s">
        <v>57</v>
      </c>
      <c r="E12" s="9">
        <v>0</v>
      </c>
      <c r="F12" s="9">
        <v>0</v>
      </c>
      <c r="G12" s="4">
        <v>20.0</v>
      </c>
      <c r="H12" s="5">
        <v>776.8</v>
      </c>
      <c r="I12" s="9">
        <v>0</v>
      </c>
      <c r="J12" s="9">
        <v>0</v>
      </c>
      <c r="K12" s="4">
        <v>2.545452</v>
      </c>
      <c r="L12" s="5">
        <v>98.865356</v>
      </c>
      <c r="M12" s="6">
        <v>1.0</v>
      </c>
      <c r="N12" s="4">
        <v>4.0</v>
      </c>
      <c r="O12" s="4">
        <v>0.363636</v>
      </c>
      <c r="P12" s="4">
        <v>2.0</v>
      </c>
      <c r="Q12" s="4">
        <v>0.181818</v>
      </c>
      <c r="R12" s="4">
        <v>15.0</v>
      </c>
      <c r="S12" s="5">
        <v>582.6</v>
      </c>
      <c r="T12" s="4">
        <v>0.166666</v>
      </c>
      <c r="U12" s="11">
        <v>90.00036000144</v>
      </c>
      <c r="V12" s="5">
        <v>191.58</v>
      </c>
      <c r="W12" s="5">
        <v>47.895</v>
      </c>
      <c r="X12" s="5">
        <v>1261.681</v>
      </c>
      <c r="Y12" s="5">
        <v>315.42025</v>
      </c>
      <c r="Z12" s="5">
        <v>1070.101</v>
      </c>
      <c r="AA12" s="5">
        <v>267.52525</v>
      </c>
      <c r="AB12" s="8">
        <v>0.84815496151563</v>
      </c>
      <c r="AC12" s="4">
        <v>4.0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86.52</v>
      </c>
      <c r="AK12" s="5">
        <v>43.26</v>
      </c>
      <c r="AL12" s="5">
        <v>327.103</v>
      </c>
      <c r="AM12" s="5">
        <v>163.5515</v>
      </c>
      <c r="AN12" s="5">
        <v>240.583</v>
      </c>
      <c r="AO12" s="5">
        <v>120.2915</v>
      </c>
      <c r="AP12" s="8">
        <v>0.7354961587023</v>
      </c>
      <c r="AQ12" s="4">
        <v>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69</v>
      </c>
      <c r="E13" s="9">
        <v>0</v>
      </c>
      <c r="F13" s="9">
        <v>0</v>
      </c>
      <c r="G13" s="4">
        <v>10.0</v>
      </c>
      <c r="H13" s="9">
        <v>0</v>
      </c>
      <c r="I13" s="4">
        <v>20.0</v>
      </c>
      <c r="J13" s="9">
        <v>0</v>
      </c>
      <c r="K13" s="4">
        <v>15.272726</v>
      </c>
      <c r="L13" s="5">
        <v>199.461802</v>
      </c>
      <c r="M13" s="14">
        <v>-0.3095239186508</v>
      </c>
      <c r="N13" s="4">
        <v>38.0</v>
      </c>
      <c r="O13" s="4">
        <v>3.454545</v>
      </c>
      <c r="P13" s="4">
        <v>12.0</v>
      </c>
      <c r="Q13" s="4">
        <v>1.090909</v>
      </c>
      <c r="R13" s="4">
        <v>3.0</v>
      </c>
      <c r="S13" s="5">
        <v>39.18</v>
      </c>
      <c r="T13" s="4">
        <v>1.0</v>
      </c>
      <c r="U13" s="7">
        <v>3.0</v>
      </c>
      <c r="V13" s="5">
        <v>496.28</v>
      </c>
      <c r="W13" s="5">
        <v>13.06</v>
      </c>
      <c r="X13" s="5">
        <v>1803.776</v>
      </c>
      <c r="Y13" s="5">
        <v>47.467789473684</v>
      </c>
      <c r="Z13" s="5">
        <v>1307.496</v>
      </c>
      <c r="AA13" s="5">
        <v>34.407789473684</v>
      </c>
      <c r="AB13" s="8">
        <v>0.72486605875674</v>
      </c>
      <c r="AC13" s="4">
        <v>38.0</v>
      </c>
      <c r="AD13" s="4">
        <v>9.0</v>
      </c>
      <c r="AE13" s="4">
        <v>13.0</v>
      </c>
      <c r="AF13" s="9">
        <v>0</v>
      </c>
      <c r="AG13" s="10">
        <v>0.34210526315789</v>
      </c>
      <c r="AH13" s="9">
        <v>0</v>
      </c>
      <c r="AI13" s="9">
        <v>0</v>
      </c>
      <c r="AJ13" s="5">
        <v>171.0</v>
      </c>
      <c r="AK13" s="5">
        <v>14.25</v>
      </c>
      <c r="AL13" s="5">
        <v>616.84</v>
      </c>
      <c r="AM13" s="5">
        <v>51.403333333333</v>
      </c>
      <c r="AN13" s="5">
        <v>445.84</v>
      </c>
      <c r="AO13" s="5">
        <v>37.153333333333</v>
      </c>
      <c r="AP13" s="8">
        <v>0.72278062382465</v>
      </c>
      <c r="AQ13" s="4">
        <v>12.0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72</v>
      </c>
      <c r="E14" s="9">
        <v>0</v>
      </c>
      <c r="F14" s="9">
        <v>0</v>
      </c>
      <c r="G14" s="9">
        <v>0</v>
      </c>
      <c r="H14" s="9">
        <v>0</v>
      </c>
      <c r="I14" s="4">
        <v>1000.0</v>
      </c>
      <c r="J14" s="5">
        <v>184790.0</v>
      </c>
      <c r="K14" s="4">
        <v>35.636356</v>
      </c>
      <c r="L14" s="5">
        <v>6585.242225</v>
      </c>
      <c r="M14" s="14">
        <v>-27.061230502917</v>
      </c>
      <c r="N14" s="4">
        <v>12.0</v>
      </c>
      <c r="O14" s="4">
        <v>1.090909</v>
      </c>
      <c r="P14" s="4">
        <v>28.0</v>
      </c>
      <c r="Q14" s="4">
        <v>2.545454</v>
      </c>
      <c r="R14" s="4">
        <v>403.0</v>
      </c>
      <c r="S14" s="5">
        <v>74470.37</v>
      </c>
      <c r="T14" s="4">
        <v>2.333333</v>
      </c>
      <c r="U14" s="11">
        <v>172.71431038776</v>
      </c>
      <c r="V14" s="5">
        <v>2286.24</v>
      </c>
      <c r="W14" s="5">
        <v>190.52</v>
      </c>
      <c r="X14" s="5">
        <v>6201.864</v>
      </c>
      <c r="Y14" s="5">
        <v>516.822</v>
      </c>
      <c r="Z14" s="5">
        <v>3915.624</v>
      </c>
      <c r="AA14" s="5">
        <v>326.302</v>
      </c>
      <c r="AB14" s="8">
        <v>0.63136244200131</v>
      </c>
      <c r="AC14" s="4">
        <v>12.0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5174.12</v>
      </c>
      <c r="AK14" s="5">
        <v>184.79</v>
      </c>
      <c r="AL14" s="5">
        <v>11728.796</v>
      </c>
      <c r="AM14" s="5">
        <v>418.88557142857</v>
      </c>
      <c r="AN14" s="5">
        <v>6554.676</v>
      </c>
      <c r="AO14" s="5">
        <v>234.09557142857</v>
      </c>
      <c r="AP14" s="8">
        <v>0.55885327019073</v>
      </c>
      <c r="AQ14" s="4">
        <v>28.0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73</v>
      </c>
      <c r="C15" t="s">
        <v>74</v>
      </c>
      <c r="D15" s="3" t="s">
        <v>69</v>
      </c>
      <c r="E15" s="4">
        <v>50.0</v>
      </c>
      <c r="F15" s="5">
        <v>168975.05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5">
        <v>0</v>
      </c>
      <c r="N15" s="4">
        <v>1.0</v>
      </c>
      <c r="O15" s="4">
        <v>0.181818</v>
      </c>
      <c r="P15" s="4">
        <v>-1.0</v>
      </c>
      <c r="Q15" s="9">
        <v>0</v>
      </c>
      <c r="R15" s="9">
        <v>0</v>
      </c>
      <c r="S15" s="9">
        <v>0</v>
      </c>
      <c r="T15" s="4">
        <v>-0.083333</v>
      </c>
      <c r="U15" s="16" t="s">
        <v>62</v>
      </c>
      <c r="V15" s="5">
        <v>2642.95</v>
      </c>
      <c r="W15" s="5">
        <v>2642.95</v>
      </c>
      <c r="X15" s="5">
        <v>4999.067</v>
      </c>
      <c r="Y15" s="5">
        <v>4999.067</v>
      </c>
      <c r="Z15" s="5">
        <v>2356.117</v>
      </c>
      <c r="AA15" s="5">
        <v>2356.117</v>
      </c>
      <c r="AB15" s="8">
        <v>0.47131134669729</v>
      </c>
      <c r="AC15" s="4">
        <v>1.0</v>
      </c>
      <c r="AD15" s="9">
        <v>0</v>
      </c>
      <c r="AE15" s="4">
        <v>1.0</v>
      </c>
      <c r="AF15" s="9">
        <v>0</v>
      </c>
      <c r="AG15" s="10">
        <v>1.0</v>
      </c>
      <c r="AH15" s="9">
        <v>0</v>
      </c>
      <c r="AI15" s="9">
        <v>0</v>
      </c>
      <c r="AJ15" s="5">
        <v>-3073.12</v>
      </c>
      <c r="AK15" s="9">
        <v>0</v>
      </c>
      <c r="AL15" s="5">
        <v>-3944.86</v>
      </c>
      <c r="AM15" s="9">
        <v>0</v>
      </c>
      <c r="AN15" s="5">
        <v>-871.74</v>
      </c>
      <c r="AO15" s="9">
        <v>0</v>
      </c>
      <c r="AP15" s="18">
        <v>0</v>
      </c>
      <c r="AQ15" s="4">
        <v>-1.0</v>
      </c>
      <c r="AR15" s="4">
        <v>1.0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75</v>
      </c>
      <c r="C16" t="s">
        <v>76</v>
      </c>
      <c r="D16" s="3" t="s">
        <v>52</v>
      </c>
      <c r="E16" s="9">
        <v>0</v>
      </c>
      <c r="F16" s="9">
        <v>0</v>
      </c>
      <c r="G16" s="9">
        <v>0</v>
      </c>
      <c r="H16" s="9">
        <v>0</v>
      </c>
      <c r="I16" s="4">
        <v>41.0</v>
      </c>
      <c r="J16" s="5">
        <v>75804.4</v>
      </c>
      <c r="K16" s="9">
        <v>0</v>
      </c>
      <c r="L16" s="9">
        <v>0</v>
      </c>
      <c r="M16" s="15">
        <v>0</v>
      </c>
      <c r="N16" s="9">
        <v>0</v>
      </c>
      <c r="O16" s="9">
        <v>0</v>
      </c>
      <c r="P16" s="9">
        <v>0</v>
      </c>
      <c r="Q16" s="9">
        <v>0</v>
      </c>
      <c r="R16" s="4">
        <v>39.0</v>
      </c>
      <c r="S16" s="5">
        <v>73909.29</v>
      </c>
      <c r="T16" s="9">
        <v>0</v>
      </c>
      <c r="U16" s="16" t="s">
        <v>62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77</v>
      </c>
      <c r="C17" t="s">
        <v>78</v>
      </c>
      <c r="D17" s="3" t="s">
        <v>52</v>
      </c>
      <c r="E17" s="9">
        <v>0</v>
      </c>
      <c r="F17" s="9">
        <v>0</v>
      </c>
      <c r="G17" s="9">
        <v>0</v>
      </c>
      <c r="H17" s="9">
        <v>0</v>
      </c>
      <c r="I17" s="4">
        <v>1.0</v>
      </c>
      <c r="J17" s="5">
        <v>2626.55</v>
      </c>
      <c r="K17" s="9">
        <v>0</v>
      </c>
      <c r="L17" s="9">
        <v>0</v>
      </c>
      <c r="M17" s="15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16" t="s">
        <v>62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52</v>
      </c>
      <c r="E18" s="9">
        <v>0</v>
      </c>
      <c r="F18" s="9">
        <v>0</v>
      </c>
      <c r="G18" s="9">
        <v>0</v>
      </c>
      <c r="H18" s="9">
        <v>0</v>
      </c>
      <c r="I18" s="4">
        <v>1.0</v>
      </c>
      <c r="J18" s="5">
        <v>3001.78</v>
      </c>
      <c r="K18" s="9">
        <v>0</v>
      </c>
      <c r="L18" s="9">
        <v>0</v>
      </c>
      <c r="M18" s="15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6" t="s">
        <v>62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81</v>
      </c>
      <c r="C19" t="s">
        <v>82</v>
      </c>
      <c r="D19" s="3" t="s">
        <v>83</v>
      </c>
      <c r="E19" s="9">
        <v>0</v>
      </c>
      <c r="F19" s="9">
        <v>0</v>
      </c>
      <c r="G19" s="9">
        <v>0</v>
      </c>
      <c r="H19" s="9">
        <v>0</v>
      </c>
      <c r="I19" s="4">
        <v>358.0</v>
      </c>
      <c r="J19" s="5">
        <v>877538.92</v>
      </c>
      <c r="K19" s="4">
        <v>67.454534</v>
      </c>
      <c r="L19" s="5">
        <v>166183.688144</v>
      </c>
      <c r="M19" s="14">
        <v>-4.3072785292683</v>
      </c>
      <c r="N19" s="9">
        <v>0</v>
      </c>
      <c r="O19" s="9">
        <v>0</v>
      </c>
      <c r="P19" s="4">
        <v>53.0</v>
      </c>
      <c r="Q19" s="4">
        <v>4.818181</v>
      </c>
      <c r="R19" s="4">
        <v>298.0</v>
      </c>
      <c r="S19" s="5">
        <v>734164.72</v>
      </c>
      <c r="T19" s="4">
        <v>4.416666</v>
      </c>
      <c r="U19" s="11">
        <v>67.471708297616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4">
        <v>1.0</v>
      </c>
      <c r="AI19" s="5">
        <v>2463.64</v>
      </c>
      <c r="AJ19" s="5">
        <v>129264.35</v>
      </c>
      <c r="AK19" s="5">
        <v>2438.95</v>
      </c>
      <c r="AL19" s="5">
        <v>189888.862</v>
      </c>
      <c r="AM19" s="5">
        <v>3582.8087169811</v>
      </c>
      <c r="AN19" s="5">
        <v>60624.512</v>
      </c>
      <c r="AO19" s="5">
        <v>1143.8587169811</v>
      </c>
      <c r="AP19" s="8">
        <v>0.31926312771309</v>
      </c>
      <c r="AQ19" s="4">
        <v>53.0</v>
      </c>
      <c r="AR19" s="4">
        <v>1.0</v>
      </c>
      <c r="AS19" s="9">
        <v>0</v>
      </c>
      <c r="AT19" s="9">
        <v>0</v>
      </c>
      <c r="AU19" s="3">
        <v>0</v>
      </c>
      <c r="AV19" s="4">
        <v>1.0</v>
      </c>
      <c r="AW19" s="5">
        <v>2463.64</v>
      </c>
    </row>
    <row r="20" spans="1:49">
      <c r="A20" s="3">
        <v>18</v>
      </c>
      <c r="B20" s="3" t="s">
        <v>84</v>
      </c>
      <c r="C20" t="s">
        <v>85</v>
      </c>
      <c r="D20" s="3" t="s">
        <v>52</v>
      </c>
      <c r="E20" s="9">
        <v>0</v>
      </c>
      <c r="F20" s="9">
        <v>0</v>
      </c>
      <c r="G20" s="9">
        <v>0</v>
      </c>
      <c r="H20" s="9">
        <v>0</v>
      </c>
      <c r="I20" s="4">
        <v>100.0</v>
      </c>
      <c r="J20" s="5">
        <v>287323.545</v>
      </c>
      <c r="K20" s="4">
        <v>44.545452</v>
      </c>
      <c r="L20" s="5">
        <v>135113.705916</v>
      </c>
      <c r="M20" s="14">
        <v>-1.2448980874636</v>
      </c>
      <c r="N20" s="9">
        <v>0</v>
      </c>
      <c r="O20" s="9">
        <v>0</v>
      </c>
      <c r="P20" s="4">
        <v>26.0</v>
      </c>
      <c r="Q20" s="4">
        <v>3.181818</v>
      </c>
      <c r="R20" s="4">
        <v>62.0</v>
      </c>
      <c r="S20" s="5">
        <v>188056.23</v>
      </c>
      <c r="T20" s="4">
        <v>2.166666</v>
      </c>
      <c r="U20" s="11">
        <v>28.615393420121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74662.12</v>
      </c>
      <c r="AK20" s="5">
        <v>2871.62</v>
      </c>
      <c r="AL20" s="5">
        <v>111439.051</v>
      </c>
      <c r="AM20" s="5">
        <v>4286.1173461538</v>
      </c>
      <c r="AN20" s="5">
        <v>36776.931</v>
      </c>
      <c r="AO20" s="5">
        <v>1414.4973461538</v>
      </c>
      <c r="AP20" s="8">
        <v>0.33001834339024</v>
      </c>
      <c r="AQ20" s="4">
        <v>26.0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83</v>
      </c>
      <c r="E21" s="9">
        <v>0</v>
      </c>
      <c r="F21" s="9">
        <v>0</v>
      </c>
      <c r="G21" s="9">
        <v>0</v>
      </c>
      <c r="H21" s="9">
        <v>0</v>
      </c>
      <c r="I21" s="4">
        <v>620.0</v>
      </c>
      <c r="J21" s="5">
        <v>1781321.6</v>
      </c>
      <c r="K21" s="4">
        <v>367.818178</v>
      </c>
      <c r="L21" s="5">
        <v>1087406.626894</v>
      </c>
      <c r="M21" s="14">
        <v>-0.68561544013738</v>
      </c>
      <c r="N21" s="9">
        <v>0</v>
      </c>
      <c r="O21" s="9">
        <v>0</v>
      </c>
      <c r="P21" s="4">
        <v>287.0</v>
      </c>
      <c r="Q21" s="4">
        <v>26.272727</v>
      </c>
      <c r="R21" s="4">
        <v>322.0</v>
      </c>
      <c r="S21" s="5">
        <v>951951.14</v>
      </c>
      <c r="T21" s="4">
        <v>23.916666</v>
      </c>
      <c r="U21" s="11">
        <v>13.463415009433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804002.94</v>
      </c>
      <c r="AK21" s="5">
        <v>2801.4039721254</v>
      </c>
      <c r="AL21" s="5">
        <v>1349788.128</v>
      </c>
      <c r="AM21" s="5">
        <v>4703.0945226481</v>
      </c>
      <c r="AN21" s="5">
        <v>545785.188</v>
      </c>
      <c r="AO21" s="5">
        <v>1901.6905505226</v>
      </c>
      <c r="AP21" s="8">
        <v>0.40434878384113</v>
      </c>
      <c r="AQ21" s="4">
        <v>287.0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83</v>
      </c>
      <c r="E22" s="9">
        <v>0</v>
      </c>
      <c r="F22" s="9">
        <v>0</v>
      </c>
      <c r="G22" s="9">
        <v>0</v>
      </c>
      <c r="H22" s="9">
        <v>0</v>
      </c>
      <c r="I22" s="4">
        <v>160.0</v>
      </c>
      <c r="J22" s="5">
        <v>448011.84</v>
      </c>
      <c r="K22" s="4">
        <v>43.272726</v>
      </c>
      <c r="L22" s="5">
        <v>121166.834982</v>
      </c>
      <c r="M22" s="14">
        <v>-2.697479100346</v>
      </c>
      <c r="N22" s="9">
        <v>0</v>
      </c>
      <c r="O22" s="9">
        <v>0</v>
      </c>
      <c r="P22" s="4">
        <v>34.0</v>
      </c>
      <c r="Q22" s="4">
        <v>3.090909</v>
      </c>
      <c r="R22" s="4">
        <v>99.0</v>
      </c>
      <c r="S22" s="5">
        <v>277207.326</v>
      </c>
      <c r="T22" s="4">
        <v>2.833333</v>
      </c>
      <c r="U22" s="11">
        <v>34.941180581315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95202.516</v>
      </c>
      <c r="AK22" s="5">
        <v>2800.074</v>
      </c>
      <c r="AL22" s="5">
        <v>161707.502</v>
      </c>
      <c r="AM22" s="5">
        <v>4756.103</v>
      </c>
      <c r="AN22" s="5">
        <v>66504.986</v>
      </c>
      <c r="AO22" s="5">
        <v>1956.029</v>
      </c>
      <c r="AP22" s="8">
        <v>0.41126716557652</v>
      </c>
      <c r="AQ22" s="4">
        <v>34.0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83</v>
      </c>
      <c r="E23" s="9">
        <v>0</v>
      </c>
      <c r="F23" s="9">
        <v>0</v>
      </c>
      <c r="G23" s="9">
        <v>0</v>
      </c>
      <c r="H23" s="9">
        <v>0</v>
      </c>
      <c r="I23" s="4">
        <v>1.0</v>
      </c>
      <c r="J23" s="5">
        <v>9380.0</v>
      </c>
      <c r="K23" s="9">
        <v>0</v>
      </c>
      <c r="L23" s="9">
        <v>0</v>
      </c>
      <c r="M23" s="15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6" t="s">
        <v>62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69</v>
      </c>
      <c r="E24" s="9">
        <v>0</v>
      </c>
      <c r="F24" s="9">
        <v>0</v>
      </c>
      <c r="G24" s="9">
        <v>0</v>
      </c>
      <c r="H24" s="9">
        <v>0</v>
      </c>
      <c r="I24" s="4">
        <v>50.0</v>
      </c>
      <c r="J24" s="9">
        <v>0</v>
      </c>
      <c r="K24" s="9">
        <v>0</v>
      </c>
      <c r="L24" s="9">
        <v>0</v>
      </c>
      <c r="M24" s="15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6" t="s">
        <v>62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52</v>
      </c>
      <c r="E25" s="4">
        <v>5.0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4">
        <v>3.818178</v>
      </c>
      <c r="L25" s="9">
        <v>0</v>
      </c>
      <c r="M25" s="6">
        <v>1.0</v>
      </c>
      <c r="N25" s="4">
        <v>2.0</v>
      </c>
      <c r="O25" s="4">
        <v>0.181818</v>
      </c>
      <c r="P25" s="4">
        <v>3.0</v>
      </c>
      <c r="Q25" s="4">
        <v>0.272727</v>
      </c>
      <c r="R25" s="9">
        <v>0</v>
      </c>
      <c r="S25" s="9">
        <v>0</v>
      </c>
      <c r="T25" s="4">
        <v>0.25</v>
      </c>
      <c r="U25" s="16" t="s">
        <v>62</v>
      </c>
      <c r="V25" s="9">
        <v>0</v>
      </c>
      <c r="W25" s="5">
        <v>0.0</v>
      </c>
      <c r="X25" s="9">
        <v>0</v>
      </c>
      <c r="Y25" s="5">
        <v>0.0</v>
      </c>
      <c r="Z25" s="9">
        <v>0</v>
      </c>
      <c r="AA25" s="5">
        <v>0.0</v>
      </c>
      <c r="AB25" s="3">
        <v>0</v>
      </c>
      <c r="AC25" s="4">
        <v>2.0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5">
        <v>0.0</v>
      </c>
      <c r="AL25" s="9">
        <v>0</v>
      </c>
      <c r="AM25" s="5">
        <v>0.0</v>
      </c>
      <c r="AN25" s="9">
        <v>0</v>
      </c>
      <c r="AO25" s="5">
        <v>0.0</v>
      </c>
      <c r="AP25" s="3">
        <v>0</v>
      </c>
      <c r="AQ25" s="4">
        <v>3.0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 t="s">
        <v>52</v>
      </c>
      <c r="E26" s="4">
        <v>4.0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4">
        <v>5.090904</v>
      </c>
      <c r="L26" s="9">
        <v>0</v>
      </c>
      <c r="M26" s="6">
        <v>1.0</v>
      </c>
      <c r="N26" s="9">
        <v>0</v>
      </c>
      <c r="O26" s="9">
        <v>0</v>
      </c>
      <c r="P26" s="4">
        <v>4.0</v>
      </c>
      <c r="Q26" s="4">
        <v>0.363636</v>
      </c>
      <c r="R26" s="9">
        <v>0</v>
      </c>
      <c r="S26" s="9">
        <v>0</v>
      </c>
      <c r="T26" s="4">
        <v>0.333333</v>
      </c>
      <c r="U26" s="16" t="s">
        <v>62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5">
        <v>0.0</v>
      </c>
      <c r="AL26" s="9">
        <v>0</v>
      </c>
      <c r="AM26" s="5">
        <v>0.0</v>
      </c>
      <c r="AN26" s="9">
        <v>0</v>
      </c>
      <c r="AO26" s="5">
        <v>0.0</v>
      </c>
      <c r="AP26" s="3">
        <v>0</v>
      </c>
      <c r="AQ26" s="4">
        <v>4.0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52</v>
      </c>
      <c r="E27" s="4">
        <v>10.0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4">
        <v>6.36363</v>
      </c>
      <c r="L27" s="9">
        <v>0</v>
      </c>
      <c r="M27" s="6">
        <v>1.0</v>
      </c>
      <c r="N27" s="4">
        <v>5.0</v>
      </c>
      <c r="O27" s="4">
        <v>0.454545</v>
      </c>
      <c r="P27" s="4">
        <v>5.0</v>
      </c>
      <c r="Q27" s="4">
        <v>0.454545</v>
      </c>
      <c r="R27" s="9">
        <v>0</v>
      </c>
      <c r="S27" s="9">
        <v>0</v>
      </c>
      <c r="T27" s="4">
        <v>0.416666</v>
      </c>
      <c r="U27" s="16" t="s">
        <v>62</v>
      </c>
      <c r="V27" s="9">
        <v>0</v>
      </c>
      <c r="W27" s="5">
        <v>0.0</v>
      </c>
      <c r="X27" s="5">
        <v>700.935</v>
      </c>
      <c r="Y27" s="5">
        <v>140.187</v>
      </c>
      <c r="Z27" s="5">
        <v>700.935</v>
      </c>
      <c r="AA27" s="5">
        <v>140.187</v>
      </c>
      <c r="AB27" s="8">
        <v>1.0</v>
      </c>
      <c r="AC27" s="4">
        <v>5.0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5">
        <v>0.0</v>
      </c>
      <c r="AL27" s="5">
        <v>785.047</v>
      </c>
      <c r="AM27" s="5">
        <v>157.0094</v>
      </c>
      <c r="AN27" s="5">
        <v>785.047</v>
      </c>
      <c r="AO27" s="5">
        <v>157.0094</v>
      </c>
      <c r="AP27" s="8">
        <v>1.0</v>
      </c>
      <c r="AQ27" s="4">
        <v>5.0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52</v>
      </c>
      <c r="E28" s="4">
        <v>5.0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4">
        <v>6.36363</v>
      </c>
      <c r="L28" s="9">
        <v>0</v>
      </c>
      <c r="M28" s="6">
        <v>1.0</v>
      </c>
      <c r="N28" s="9">
        <v>0</v>
      </c>
      <c r="O28" s="9">
        <v>0</v>
      </c>
      <c r="P28" s="4">
        <v>5.0</v>
      </c>
      <c r="Q28" s="4">
        <v>0.454545</v>
      </c>
      <c r="R28" s="9">
        <v>0</v>
      </c>
      <c r="S28" s="9">
        <v>0</v>
      </c>
      <c r="T28" s="4">
        <v>0.416666</v>
      </c>
      <c r="U28" s="16" t="s">
        <v>62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5">
        <v>0.0</v>
      </c>
      <c r="AL28" s="5">
        <v>841.122</v>
      </c>
      <c r="AM28" s="5">
        <v>168.2244</v>
      </c>
      <c r="AN28" s="5">
        <v>841.122</v>
      </c>
      <c r="AO28" s="5">
        <v>168.2244</v>
      </c>
      <c r="AP28" s="8">
        <v>1.0</v>
      </c>
      <c r="AQ28" s="4">
        <v>5.0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52</v>
      </c>
      <c r="E29" s="4">
        <v>10.0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4">
        <v>2.545452</v>
      </c>
      <c r="L29" s="9">
        <v>0</v>
      </c>
      <c r="M29" s="6">
        <v>1.0</v>
      </c>
      <c r="N29" s="9">
        <v>0</v>
      </c>
      <c r="O29" s="9">
        <v>0</v>
      </c>
      <c r="P29" s="4">
        <v>2.0</v>
      </c>
      <c r="Q29" s="4">
        <v>0.181818</v>
      </c>
      <c r="R29" s="9">
        <v>0</v>
      </c>
      <c r="S29" s="9">
        <v>0</v>
      </c>
      <c r="T29" s="4">
        <v>0.166666</v>
      </c>
      <c r="U29" s="16" t="s">
        <v>62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5">
        <v>0.0</v>
      </c>
      <c r="AL29" s="9">
        <v>0</v>
      </c>
      <c r="AM29" s="5">
        <v>0.0</v>
      </c>
      <c r="AN29" s="9">
        <v>0</v>
      </c>
      <c r="AO29" s="5">
        <v>0.0</v>
      </c>
      <c r="AP29" s="3">
        <v>0</v>
      </c>
      <c r="AQ29" s="4">
        <v>2.0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52</v>
      </c>
      <c r="E30" s="4">
        <v>10.0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4">
        <v>5.090904</v>
      </c>
      <c r="L30" s="9">
        <v>0</v>
      </c>
      <c r="M30" s="6">
        <v>1.0</v>
      </c>
      <c r="N30" s="9">
        <v>0</v>
      </c>
      <c r="O30" s="9">
        <v>0</v>
      </c>
      <c r="P30" s="4">
        <v>4.0</v>
      </c>
      <c r="Q30" s="4">
        <v>0.363636</v>
      </c>
      <c r="R30" s="9">
        <v>0</v>
      </c>
      <c r="S30" s="9">
        <v>0</v>
      </c>
      <c r="T30" s="4">
        <v>0.333333</v>
      </c>
      <c r="U30" s="16" t="s">
        <v>62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5">
        <v>0.0</v>
      </c>
      <c r="AL30" s="9">
        <v>0</v>
      </c>
      <c r="AM30" s="5">
        <v>0.0</v>
      </c>
      <c r="AN30" s="9">
        <v>0</v>
      </c>
      <c r="AO30" s="5">
        <v>0.0</v>
      </c>
      <c r="AP30" s="3">
        <v>0</v>
      </c>
      <c r="AQ30" s="4">
        <v>4.0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52</v>
      </c>
      <c r="E31" s="4">
        <v>10.0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4">
        <v>2.545452</v>
      </c>
      <c r="L31" s="9">
        <v>0</v>
      </c>
      <c r="M31" s="6">
        <v>1.0</v>
      </c>
      <c r="N31" s="9">
        <v>0</v>
      </c>
      <c r="O31" s="9">
        <v>0</v>
      </c>
      <c r="P31" s="4">
        <v>2.0</v>
      </c>
      <c r="Q31" s="4">
        <v>0.181818</v>
      </c>
      <c r="R31" s="9">
        <v>0</v>
      </c>
      <c r="S31" s="9">
        <v>0</v>
      </c>
      <c r="T31" s="4">
        <v>0.166666</v>
      </c>
      <c r="U31" s="16" t="s">
        <v>62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5">
        <v>0.0</v>
      </c>
      <c r="AL31" s="9">
        <v>0</v>
      </c>
      <c r="AM31" s="5">
        <v>0.0</v>
      </c>
      <c r="AN31" s="9">
        <v>0</v>
      </c>
      <c r="AO31" s="5">
        <v>0.0</v>
      </c>
      <c r="AP31" s="3">
        <v>0</v>
      </c>
      <c r="AQ31" s="4">
        <v>2.0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52</v>
      </c>
      <c r="E32" s="4">
        <v>5.0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4">
        <v>1.272726</v>
      </c>
      <c r="L32" s="9">
        <v>0</v>
      </c>
      <c r="M32" s="6">
        <v>1.0</v>
      </c>
      <c r="N32" s="4">
        <v>4.0</v>
      </c>
      <c r="O32" s="4">
        <v>0.363636</v>
      </c>
      <c r="P32" s="4">
        <v>1.0</v>
      </c>
      <c r="Q32" s="4">
        <v>0.090909</v>
      </c>
      <c r="R32" s="9">
        <v>0</v>
      </c>
      <c r="S32" s="9">
        <v>0</v>
      </c>
      <c r="T32" s="4">
        <v>0.083333</v>
      </c>
      <c r="U32" s="16" t="s">
        <v>62</v>
      </c>
      <c r="V32" s="9">
        <v>0</v>
      </c>
      <c r="W32" s="5">
        <v>0.0</v>
      </c>
      <c r="X32" s="5">
        <v>981.309</v>
      </c>
      <c r="Y32" s="5">
        <v>245.32725</v>
      </c>
      <c r="Z32" s="5">
        <v>981.309</v>
      </c>
      <c r="AA32" s="5">
        <v>245.32725</v>
      </c>
      <c r="AB32" s="8">
        <v>1.0</v>
      </c>
      <c r="AC32" s="4">
        <v>4.0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5">
        <v>0.0</v>
      </c>
      <c r="AL32" s="9">
        <v>0</v>
      </c>
      <c r="AM32" s="5">
        <v>0.0</v>
      </c>
      <c r="AN32" s="9">
        <v>0</v>
      </c>
      <c r="AO32" s="5">
        <v>0.0</v>
      </c>
      <c r="AP32" s="3">
        <v>0</v>
      </c>
      <c r="AQ32" s="4">
        <v>1.0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52</v>
      </c>
      <c r="E33" s="4">
        <v>8.0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5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62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52</v>
      </c>
      <c r="E34" s="4">
        <v>8.0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4">
        <v>1.272726</v>
      </c>
      <c r="L34" s="9">
        <v>0</v>
      </c>
      <c r="M34" s="6">
        <v>1.0</v>
      </c>
      <c r="N34" s="4">
        <v>3.0</v>
      </c>
      <c r="O34" s="4">
        <v>0.272727</v>
      </c>
      <c r="P34" s="4">
        <v>1.0</v>
      </c>
      <c r="Q34" s="4">
        <v>0.090909</v>
      </c>
      <c r="R34" s="9">
        <v>0</v>
      </c>
      <c r="S34" s="9">
        <v>0</v>
      </c>
      <c r="T34" s="4">
        <v>0.083333</v>
      </c>
      <c r="U34" s="16" t="s">
        <v>62</v>
      </c>
      <c r="V34" s="9">
        <v>0</v>
      </c>
      <c r="W34" s="5">
        <v>0.0</v>
      </c>
      <c r="X34" s="9">
        <v>0</v>
      </c>
      <c r="Y34" s="5">
        <v>0.0</v>
      </c>
      <c r="Z34" s="9">
        <v>0</v>
      </c>
      <c r="AA34" s="5">
        <v>0.0</v>
      </c>
      <c r="AB34" s="3">
        <v>0</v>
      </c>
      <c r="AC34" s="4">
        <v>3.0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5">
        <v>0.0</v>
      </c>
      <c r="AL34" s="9">
        <v>0</v>
      </c>
      <c r="AM34" s="5">
        <v>0.0</v>
      </c>
      <c r="AN34" s="9">
        <v>0</v>
      </c>
      <c r="AO34" s="5">
        <v>0.0</v>
      </c>
      <c r="AP34" s="3">
        <v>0</v>
      </c>
      <c r="AQ34" s="4">
        <v>1.0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52</v>
      </c>
      <c r="E35" s="9">
        <v>0</v>
      </c>
      <c r="F35" s="9">
        <v>0</v>
      </c>
      <c r="G35" s="9">
        <v>0</v>
      </c>
      <c r="H35" s="9">
        <v>0</v>
      </c>
      <c r="I35" s="4">
        <v>30.0</v>
      </c>
      <c r="J35" s="5">
        <v>46011.9</v>
      </c>
      <c r="K35" s="4">
        <v>20.36363</v>
      </c>
      <c r="L35" s="5">
        <v>31232.31024</v>
      </c>
      <c r="M35" s="14">
        <v>-0.47321474609389</v>
      </c>
      <c r="N35" s="9">
        <v>0</v>
      </c>
      <c r="O35" s="9">
        <v>0</v>
      </c>
      <c r="P35" s="4">
        <v>16.0</v>
      </c>
      <c r="Q35" s="4">
        <v>1.454545</v>
      </c>
      <c r="R35" s="4">
        <v>7.0</v>
      </c>
      <c r="S35" s="5">
        <v>10736.11</v>
      </c>
      <c r="T35" s="4">
        <v>1.333333</v>
      </c>
      <c r="U35" s="13">
        <v>5.2500013125003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4">
        <v>1.0</v>
      </c>
      <c r="AI35" s="5">
        <v>1533.73</v>
      </c>
      <c r="AJ35" s="5">
        <v>24539.68</v>
      </c>
      <c r="AK35" s="5">
        <v>1533.73</v>
      </c>
      <c r="AL35" s="5">
        <v>22570.1</v>
      </c>
      <c r="AM35" s="5">
        <v>1410.63125</v>
      </c>
      <c r="AN35" s="5">
        <v>-1969.58</v>
      </c>
      <c r="AO35" s="5">
        <v>-123.09875</v>
      </c>
      <c r="AP35" s="17">
        <v>-0.087265009902482</v>
      </c>
      <c r="AQ35" s="4">
        <v>16.0</v>
      </c>
      <c r="AR35" s="9">
        <v>0</v>
      </c>
      <c r="AS35" s="9">
        <v>0</v>
      </c>
      <c r="AT35" s="9">
        <v>0</v>
      </c>
      <c r="AU35" s="3">
        <v>0</v>
      </c>
      <c r="AV35" s="4">
        <v>1.0</v>
      </c>
      <c r="AW35" s="5">
        <v>1533.73</v>
      </c>
    </row>
    <row r="36" spans="1:49">
      <c r="A36" s="3">
        <v>34</v>
      </c>
      <c r="B36" s="3" t="s">
        <v>116</v>
      </c>
      <c r="C36" t="s">
        <v>117</v>
      </c>
      <c r="D36" s="3" t="s">
        <v>52</v>
      </c>
      <c r="E36" s="9">
        <v>0</v>
      </c>
      <c r="F36" s="9">
        <v>0</v>
      </c>
      <c r="G36" s="9">
        <v>0</v>
      </c>
      <c r="H36" s="9">
        <v>0</v>
      </c>
      <c r="I36" s="4">
        <v>20.0</v>
      </c>
      <c r="J36" s="5">
        <v>1108.8</v>
      </c>
      <c r="K36" s="9">
        <v>0</v>
      </c>
      <c r="L36" s="9">
        <v>0</v>
      </c>
      <c r="M36" s="15">
        <v>0</v>
      </c>
      <c r="N36" s="9">
        <v>0</v>
      </c>
      <c r="O36" s="9">
        <v>0</v>
      </c>
      <c r="P36" s="9">
        <v>0</v>
      </c>
      <c r="Q36" s="9">
        <v>0</v>
      </c>
      <c r="R36" s="4">
        <v>19.0</v>
      </c>
      <c r="S36" s="5">
        <v>1053.36</v>
      </c>
      <c r="T36" s="9">
        <v>0</v>
      </c>
      <c r="U36" s="16" t="s">
        <v>62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52</v>
      </c>
      <c r="E37" s="9">
        <v>0</v>
      </c>
      <c r="F37" s="9">
        <v>0</v>
      </c>
      <c r="G37" s="9">
        <v>0</v>
      </c>
      <c r="H37" s="9">
        <v>0</v>
      </c>
      <c r="I37" s="4">
        <v>20.0</v>
      </c>
      <c r="J37" s="5">
        <v>33261.8</v>
      </c>
      <c r="K37" s="4">
        <v>1.272726</v>
      </c>
      <c r="L37" s="5">
        <v>2116.657883</v>
      </c>
      <c r="M37" s="14">
        <v>-14.714301428587</v>
      </c>
      <c r="N37" s="9">
        <v>0</v>
      </c>
      <c r="O37" s="9">
        <v>0</v>
      </c>
      <c r="P37" s="4">
        <v>1.0</v>
      </c>
      <c r="Q37" s="4">
        <v>0.090909</v>
      </c>
      <c r="R37" s="4">
        <v>17.0</v>
      </c>
      <c r="S37" s="5">
        <v>28272.53</v>
      </c>
      <c r="T37" s="4">
        <v>0.083333</v>
      </c>
      <c r="U37" s="11">
        <v>204.00081600326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1663.09</v>
      </c>
      <c r="AK37" s="5">
        <v>1663.09</v>
      </c>
      <c r="AL37" s="9">
        <v>0</v>
      </c>
      <c r="AM37" s="5">
        <v>0.0</v>
      </c>
      <c r="AN37" s="5">
        <v>-1663.09</v>
      </c>
      <c r="AO37" s="5">
        <v>-1663.09</v>
      </c>
      <c r="AP37" s="18">
        <v>0</v>
      </c>
      <c r="AQ37" s="4">
        <v>1.0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1" t="s">
        <v>120</v>
      </c>
      <c r="B38" s="1"/>
      <c r="C38" s="1"/>
      <c r="D38" s="1"/>
      <c r="E38" s="1"/>
      <c r="F38" s="19">
        <f>SUM(F3:F38)</f>
        <v>2467150.245</v>
      </c>
      <c r="G38" s="1"/>
      <c r="H38" s="19">
        <f>SUM(H3:H38)</f>
        <v>3693171.268</v>
      </c>
      <c r="I38" s="1"/>
      <c r="J38" s="19">
        <f>SUM(J3:J38)</f>
        <v>5456964.895</v>
      </c>
      <c r="K38" s="1"/>
      <c r="L38" s="19">
        <f>SUM(L3:L38)</f>
        <v>3886872.457533</v>
      </c>
      <c r="M38" s="1"/>
      <c r="N38" s="1"/>
      <c r="O38" s="1"/>
      <c r="P38" s="1"/>
      <c r="Q38" s="1"/>
      <c r="R38" s="1"/>
      <c r="S38" s="19">
        <f>SUM(S3:S38)</f>
        <v>3635042.251</v>
      </c>
      <c r="T38" s="1"/>
      <c r="U38" s="1"/>
      <c r="V38" s="19">
        <f>SUM(V3:V38)</f>
        <v>2425004.253</v>
      </c>
      <c r="W38" s="1"/>
      <c r="X38" s="19">
        <f>SUM(X3:X38)</f>
        <v>3326828.876</v>
      </c>
      <c r="Y38" s="1"/>
      <c r="Z38" s="19">
        <f>SUM(Z3:Z38)</f>
        <v>901824.623</v>
      </c>
      <c r="AA38" s="1"/>
      <c r="AB38" s="1"/>
      <c r="AC38" s="1"/>
      <c r="AD38" s="1"/>
      <c r="AE38" s="1"/>
      <c r="AF38" s="19">
        <f>SUM(AF3:AF38)</f>
        <v>0</v>
      </c>
      <c r="AG38" s="1"/>
      <c r="AH38" s="1"/>
      <c r="AI38" s="19">
        <f>SUM(AI3:AI38)</f>
        <v>6486.1</v>
      </c>
      <c r="AJ38" s="19">
        <f>SUM(AJ3:V38)</f>
        <v>16596974.359814</v>
      </c>
      <c r="AK38" s="1"/>
      <c r="AL38" s="19">
        <f>SUM(AL3:AL38)</f>
        <v>4713142.372</v>
      </c>
      <c r="AM38" s="1"/>
      <c r="AN38" s="19">
        <f>SUM(AN3:AN38)</f>
        <v>1494753.499</v>
      </c>
      <c r="AO38" s="1"/>
      <c r="AP38" s="1"/>
      <c r="AQ38" s="1"/>
      <c r="AR38" s="1"/>
      <c r="AS38" s="1"/>
      <c r="AT38" s="19">
        <f>SUM(AT3:AT38)</f>
        <v>0</v>
      </c>
      <c r="AU38" s="1"/>
      <c r="AV38" s="1"/>
      <c r="AW38" s="19">
        <f>SUM(AW3:AW38)</f>
        <v>6486.1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"/>
  <sheetViews>
    <sheetView tabSelected="0" workbookViewId="0" showGridLines="true" showRowColHeaders="1">
      <pane ySplit="1" topLeftCell="A2" activePane="bottomLeft" state="frozen"/>
      <selection pane="bottomLeft" activeCell="I24" sqref="I2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</v>
      </c>
      <c r="G1" s="1" t="s">
        <v>2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130</v>
      </c>
      <c r="C2" s="3" t="s">
        <v>131</v>
      </c>
      <c r="D2" s="20">
        <v>44698.0</v>
      </c>
      <c r="E2" t="s">
        <v>132</v>
      </c>
      <c r="F2" s="3" t="s">
        <v>46</v>
      </c>
      <c r="G2" t="s">
        <v>47</v>
      </c>
      <c r="H2" s="3" t="s">
        <v>133</v>
      </c>
      <c r="I2" s="4">
        <v>1.0</v>
      </c>
      <c r="J2" t="s">
        <v>134</v>
      </c>
      <c r="K2" t="s">
        <v>135</v>
      </c>
      <c r="L2" t="s">
        <v>136</v>
      </c>
    </row>
    <row r="3" spans="1:36">
      <c r="A3" s="3">
        <v>2</v>
      </c>
      <c r="B3" t="s">
        <v>130</v>
      </c>
      <c r="C3" s="3" t="s">
        <v>137</v>
      </c>
      <c r="D3" s="20">
        <v>44711.0</v>
      </c>
      <c r="E3" t="s">
        <v>138</v>
      </c>
      <c r="F3" s="3" t="s">
        <v>46</v>
      </c>
      <c r="G3" t="s">
        <v>47</v>
      </c>
      <c r="H3" s="3" t="s">
        <v>133</v>
      </c>
      <c r="I3" s="4">
        <v>1.0</v>
      </c>
      <c r="J3" t="s">
        <v>134</v>
      </c>
      <c r="K3" t="s">
        <v>139</v>
      </c>
      <c r="L3" t="s">
        <v>140</v>
      </c>
    </row>
    <row r="4" spans="1:36">
      <c r="A4" s="3">
        <v>3</v>
      </c>
      <c r="B4" t="s">
        <v>141</v>
      </c>
      <c r="C4" s="3" t="s">
        <v>142</v>
      </c>
      <c r="D4" s="20">
        <v>44750.0</v>
      </c>
      <c r="E4" t="s">
        <v>143</v>
      </c>
      <c r="F4" s="3" t="s">
        <v>46</v>
      </c>
      <c r="G4" t="s">
        <v>47</v>
      </c>
      <c r="H4" s="3" t="s">
        <v>133</v>
      </c>
      <c r="I4" s="4">
        <v>1.0</v>
      </c>
      <c r="J4" t="s">
        <v>134</v>
      </c>
      <c r="K4" t="s">
        <v>135</v>
      </c>
      <c r="L4" t="s">
        <v>144</v>
      </c>
    </row>
    <row r="5" spans="1:36">
      <c r="A5" s="3">
        <v>4</v>
      </c>
      <c r="B5" t="s">
        <v>145</v>
      </c>
      <c r="C5" s="3" t="s">
        <v>146</v>
      </c>
      <c r="D5" s="20">
        <v>44777.0</v>
      </c>
      <c r="E5" t="s">
        <v>147</v>
      </c>
      <c r="F5" s="3" t="s">
        <v>46</v>
      </c>
      <c r="G5" t="s">
        <v>47</v>
      </c>
      <c r="H5" s="3" t="s">
        <v>133</v>
      </c>
      <c r="I5" s="4">
        <v>1.0</v>
      </c>
      <c r="J5" t="s">
        <v>134</v>
      </c>
      <c r="K5" t="s">
        <v>139</v>
      </c>
      <c r="L5" t="s">
        <v>148</v>
      </c>
    </row>
    <row r="6" spans="1:36">
      <c r="A6" s="3">
        <v>5</v>
      </c>
      <c r="B6" t="s">
        <v>130</v>
      </c>
      <c r="C6" s="3" t="s">
        <v>149</v>
      </c>
      <c r="D6" s="20">
        <v>45077.0</v>
      </c>
      <c r="E6" t="s">
        <v>150</v>
      </c>
      <c r="F6" s="3" t="s">
        <v>46</v>
      </c>
      <c r="G6" t="s">
        <v>47</v>
      </c>
      <c r="H6" s="3" t="s">
        <v>133</v>
      </c>
      <c r="I6" s="4">
        <v>1.0</v>
      </c>
      <c r="J6" t="s">
        <v>134</v>
      </c>
      <c r="K6" t="s">
        <v>139</v>
      </c>
      <c r="L6" t="s">
        <v>151</v>
      </c>
    </row>
    <row r="7" spans="1:36">
      <c r="A7" s="3">
        <v>6</v>
      </c>
      <c r="B7" t="s">
        <v>130</v>
      </c>
      <c r="C7" s="3" t="s">
        <v>152</v>
      </c>
      <c r="D7" s="20">
        <v>44629.0</v>
      </c>
      <c r="E7" t="s">
        <v>153</v>
      </c>
      <c r="F7" s="3" t="s">
        <v>43</v>
      </c>
      <c r="G7" t="s">
        <v>44</v>
      </c>
      <c r="H7" s="3" t="s">
        <v>133</v>
      </c>
      <c r="I7" s="4">
        <v>1.0</v>
      </c>
      <c r="J7" t="s">
        <v>134</v>
      </c>
      <c r="K7" t="s">
        <v>135</v>
      </c>
      <c r="L7" t="s">
        <v>154</v>
      </c>
    </row>
    <row r="8" spans="1:36">
      <c r="A8" s="3">
        <v>7</v>
      </c>
      <c r="B8" t="s">
        <v>145</v>
      </c>
      <c r="C8" s="3" t="s">
        <v>155</v>
      </c>
      <c r="D8" s="20">
        <v>44749.0</v>
      </c>
      <c r="E8" t="s">
        <v>156</v>
      </c>
      <c r="F8" s="3" t="s">
        <v>43</v>
      </c>
      <c r="G8" t="s">
        <v>44</v>
      </c>
      <c r="H8" s="3" t="s">
        <v>133</v>
      </c>
      <c r="I8" s="4">
        <v>1.0</v>
      </c>
      <c r="J8" t="s">
        <v>134</v>
      </c>
      <c r="K8" t="s">
        <v>135</v>
      </c>
      <c r="L8" t="s">
        <v>157</v>
      </c>
    </row>
    <row r="9" spans="1:36">
      <c r="A9" s="3">
        <v>8</v>
      </c>
      <c r="B9" t="s">
        <v>145</v>
      </c>
      <c r="C9" s="3" t="s">
        <v>158</v>
      </c>
      <c r="D9" s="20">
        <v>44777.0</v>
      </c>
      <c r="E9" t="s">
        <v>159</v>
      </c>
      <c r="F9" s="3" t="s">
        <v>43</v>
      </c>
      <c r="G9" t="s">
        <v>44</v>
      </c>
      <c r="H9" s="3" t="s">
        <v>133</v>
      </c>
      <c r="I9" s="4">
        <v>1.0</v>
      </c>
      <c r="J9" t="s">
        <v>134</v>
      </c>
      <c r="K9" t="s">
        <v>135</v>
      </c>
      <c r="L9" t="s">
        <v>160</v>
      </c>
    </row>
    <row r="10" spans="1:36">
      <c r="A10" s="3">
        <v>9</v>
      </c>
      <c r="B10" t="s">
        <v>145</v>
      </c>
      <c r="C10" s="3" t="s">
        <v>161</v>
      </c>
      <c r="D10" s="20">
        <v>44952.0</v>
      </c>
      <c r="E10" t="s">
        <v>162</v>
      </c>
      <c r="F10" s="3" t="s">
        <v>43</v>
      </c>
      <c r="G10" t="s">
        <v>44</v>
      </c>
      <c r="H10" s="3" t="s">
        <v>133</v>
      </c>
      <c r="I10" s="4">
        <v>1.0</v>
      </c>
      <c r="J10" t="s">
        <v>163</v>
      </c>
      <c r="K10" t="s">
        <v>135</v>
      </c>
      <c r="L10" t="s">
        <v>164</v>
      </c>
    </row>
    <row r="11" spans="1:36">
      <c r="A11" s="3">
        <v>10</v>
      </c>
      <c r="B11" t="s">
        <v>145</v>
      </c>
      <c r="C11" s="3" t="s">
        <v>165</v>
      </c>
      <c r="D11" s="20">
        <v>44979.0</v>
      </c>
      <c r="E11" t="s">
        <v>166</v>
      </c>
      <c r="F11" s="3" t="s">
        <v>43</v>
      </c>
      <c r="G11" t="s">
        <v>44</v>
      </c>
      <c r="H11" s="3" t="s">
        <v>133</v>
      </c>
      <c r="I11" s="4">
        <v>1.0</v>
      </c>
      <c r="J11" t="s">
        <v>163</v>
      </c>
      <c r="K11" t="s">
        <v>135</v>
      </c>
      <c r="L11" t="s">
        <v>164</v>
      </c>
    </row>
    <row r="12" spans="1:36">
      <c r="A12" s="3">
        <v>11</v>
      </c>
      <c r="B12" t="s">
        <v>130</v>
      </c>
      <c r="C12" s="3" t="s">
        <v>167</v>
      </c>
      <c r="D12" s="20">
        <v>44987.0</v>
      </c>
      <c r="E12" t="s">
        <v>168</v>
      </c>
      <c r="F12" s="3" t="s">
        <v>43</v>
      </c>
      <c r="G12" t="s">
        <v>44</v>
      </c>
      <c r="H12" s="3" t="s">
        <v>133</v>
      </c>
      <c r="I12" s="4">
        <v>1.0</v>
      </c>
      <c r="J12" t="s">
        <v>134</v>
      </c>
      <c r="K12" t="s">
        <v>139</v>
      </c>
      <c r="L12" t="s">
        <v>169</v>
      </c>
    </row>
    <row r="13" spans="1:36">
      <c r="A13" s="3">
        <v>12</v>
      </c>
      <c r="B13" t="s">
        <v>130</v>
      </c>
      <c r="C13" s="3" t="s">
        <v>170</v>
      </c>
      <c r="D13" s="20">
        <v>45061.0</v>
      </c>
      <c r="E13" t="s">
        <v>171</v>
      </c>
      <c r="F13" s="3" t="s">
        <v>43</v>
      </c>
      <c r="G13" t="s">
        <v>44</v>
      </c>
      <c r="H13" s="3" t="s">
        <v>133</v>
      </c>
      <c r="I13" s="4">
        <v>1.0</v>
      </c>
      <c r="J13" t="s">
        <v>134</v>
      </c>
      <c r="K13" t="s">
        <v>139</v>
      </c>
      <c r="L13" t="s">
        <v>172</v>
      </c>
    </row>
    <row r="14" spans="1:36">
      <c r="A14" s="3">
        <v>13</v>
      </c>
      <c r="B14" t="s">
        <v>130</v>
      </c>
      <c r="C14" s="3" t="s">
        <v>173</v>
      </c>
      <c r="D14" s="20">
        <v>45077.0</v>
      </c>
      <c r="E14" t="s">
        <v>174</v>
      </c>
      <c r="F14" s="3" t="s">
        <v>43</v>
      </c>
      <c r="G14" t="s">
        <v>44</v>
      </c>
      <c r="H14" s="3" t="s">
        <v>133</v>
      </c>
      <c r="I14" s="4">
        <v>1.0</v>
      </c>
      <c r="J14" t="s">
        <v>134</v>
      </c>
      <c r="K14" t="s">
        <v>139</v>
      </c>
      <c r="L14" t="s">
        <v>175</v>
      </c>
    </row>
    <row r="15" spans="1:36">
      <c r="A15" s="3">
        <v>14</v>
      </c>
      <c r="B15" t="s">
        <v>145</v>
      </c>
      <c r="C15" s="3" t="s">
        <v>176</v>
      </c>
      <c r="D15" s="20">
        <v>45126.0</v>
      </c>
      <c r="E15" t="s">
        <v>166</v>
      </c>
      <c r="F15" s="3" t="s">
        <v>43</v>
      </c>
      <c r="G15" t="s">
        <v>44</v>
      </c>
      <c r="H15" s="3" t="s">
        <v>133</v>
      </c>
      <c r="I15" s="4">
        <v>1.0</v>
      </c>
      <c r="J15" t="s">
        <v>134</v>
      </c>
      <c r="K15" t="s">
        <v>135</v>
      </c>
      <c r="L15" t="s">
        <v>177</v>
      </c>
    </row>
    <row r="16" spans="1:36">
      <c r="A16" s="3">
        <v>15</v>
      </c>
      <c r="B16" t="s">
        <v>130</v>
      </c>
      <c r="C16" s="3" t="s">
        <v>178</v>
      </c>
      <c r="D16" s="20">
        <v>45155.0</v>
      </c>
      <c r="E16" t="s">
        <v>179</v>
      </c>
      <c r="F16" s="3" t="s">
        <v>43</v>
      </c>
      <c r="G16" t="s">
        <v>44</v>
      </c>
      <c r="H16" s="3" t="s">
        <v>133</v>
      </c>
      <c r="I16" s="4">
        <v>1.0</v>
      </c>
      <c r="J16" t="s">
        <v>163</v>
      </c>
      <c r="K16" t="s">
        <v>139</v>
      </c>
      <c r="L16" t="s">
        <v>180</v>
      </c>
    </row>
    <row r="17" spans="1:36">
      <c r="A17" s="3">
        <v>16</v>
      </c>
      <c r="B17" t="s">
        <v>145</v>
      </c>
      <c r="C17" s="3" t="s">
        <v>181</v>
      </c>
      <c r="D17" s="20">
        <v>45174.0</v>
      </c>
      <c r="E17" t="s">
        <v>182</v>
      </c>
      <c r="F17" s="3" t="s">
        <v>43</v>
      </c>
      <c r="G17" t="s">
        <v>44</v>
      </c>
      <c r="H17" s="3" t="s">
        <v>133</v>
      </c>
      <c r="I17" s="4">
        <v>1.0</v>
      </c>
      <c r="J17" t="s">
        <v>163</v>
      </c>
      <c r="K17" t="s">
        <v>135</v>
      </c>
      <c r="L17" t="s">
        <v>183</v>
      </c>
    </row>
    <row r="18" spans="1:36">
      <c r="A18" s="3">
        <v>17</v>
      </c>
      <c r="B18" t="s">
        <v>145</v>
      </c>
      <c r="C18" s="3" t="s">
        <v>184</v>
      </c>
      <c r="D18" s="20">
        <v>45204.0</v>
      </c>
      <c r="E18" t="s">
        <v>166</v>
      </c>
      <c r="F18" s="3" t="s">
        <v>43</v>
      </c>
      <c r="G18" t="s">
        <v>44</v>
      </c>
      <c r="H18" s="3" t="s">
        <v>133</v>
      </c>
      <c r="I18" s="4">
        <v>1.0</v>
      </c>
      <c r="J18" t="s">
        <v>163</v>
      </c>
      <c r="K18" t="s">
        <v>135</v>
      </c>
      <c r="L18" t="s">
        <v>185</v>
      </c>
    </row>
    <row r="19" spans="1:36">
      <c r="A19" s="3">
        <v>18</v>
      </c>
      <c r="B19" t="s">
        <v>130</v>
      </c>
      <c r="C19" s="3" t="s">
        <v>186</v>
      </c>
      <c r="D19" s="20">
        <v>45143.0</v>
      </c>
      <c r="E19" t="s">
        <v>187</v>
      </c>
      <c r="F19" s="3" t="s">
        <v>73</v>
      </c>
      <c r="G19" t="s">
        <v>74</v>
      </c>
      <c r="H19" s="3" t="s">
        <v>133</v>
      </c>
      <c r="I19" s="4">
        <v>1.0</v>
      </c>
      <c r="J19" t="s">
        <v>134</v>
      </c>
      <c r="K19" t="s">
        <v>135</v>
      </c>
      <c r="L19" t="s">
        <v>188</v>
      </c>
    </row>
    <row r="20" spans="1:36">
      <c r="A20" s="3">
        <v>19</v>
      </c>
      <c r="B20" t="s">
        <v>141</v>
      </c>
      <c r="C20" s="3" t="s">
        <v>189</v>
      </c>
      <c r="D20" s="20">
        <v>45143.0</v>
      </c>
      <c r="E20" t="s">
        <v>190</v>
      </c>
      <c r="F20" s="3" t="s">
        <v>48</v>
      </c>
      <c r="G20" t="s">
        <v>49</v>
      </c>
      <c r="H20" s="3" t="s">
        <v>133</v>
      </c>
      <c r="I20" s="4">
        <v>1.0</v>
      </c>
      <c r="J20" t="s">
        <v>163</v>
      </c>
      <c r="K20" t="s">
        <v>139</v>
      </c>
      <c r="L20" t="s">
        <v>191</v>
      </c>
    </row>
    <row r="21" spans="1:36">
      <c r="A21" s="3">
        <v>20</v>
      </c>
      <c r="B21" t="s">
        <v>130</v>
      </c>
      <c r="C21" s="3" t="s">
        <v>192</v>
      </c>
      <c r="D21" s="20">
        <v>45261.0</v>
      </c>
      <c r="E21" t="s">
        <v>193</v>
      </c>
      <c r="F21" s="3" t="s">
        <v>81</v>
      </c>
      <c r="G21" t="s">
        <v>82</v>
      </c>
      <c r="H21" s="3" t="s">
        <v>133</v>
      </c>
      <c r="I21" s="4">
        <v>1.0</v>
      </c>
      <c r="J21" t="s">
        <v>163</v>
      </c>
      <c r="K21" t="s">
        <v>135</v>
      </c>
      <c r="L21" t="s">
        <v>194</v>
      </c>
    </row>
    <row r="22" spans="1:36">
      <c r="A22" s="3">
        <v>21</v>
      </c>
      <c r="B22" t="s">
        <v>145</v>
      </c>
      <c r="C22" s="3" t="s">
        <v>195</v>
      </c>
      <c r="D22" s="20">
        <v>44655.0</v>
      </c>
      <c r="E22" t="s">
        <v>196</v>
      </c>
      <c r="F22" s="3" t="s">
        <v>67</v>
      </c>
      <c r="G22" t="s">
        <v>68</v>
      </c>
      <c r="H22" s="3" t="s">
        <v>133</v>
      </c>
      <c r="I22" s="4">
        <v>2.0</v>
      </c>
      <c r="J22" t="s">
        <v>134</v>
      </c>
      <c r="K22" t="s">
        <v>197</v>
      </c>
      <c r="L22" t="s">
        <v>198</v>
      </c>
    </row>
    <row r="23" spans="1:36">
      <c r="A23" s="3">
        <v>22</v>
      </c>
      <c r="B23" t="s">
        <v>145</v>
      </c>
      <c r="C23" s="3" t="s">
        <v>199</v>
      </c>
      <c r="D23" s="20">
        <v>44749.0</v>
      </c>
      <c r="E23" t="s">
        <v>200</v>
      </c>
      <c r="F23" s="3" t="s">
        <v>67</v>
      </c>
      <c r="G23" t="s">
        <v>68</v>
      </c>
      <c r="H23" s="3" t="s">
        <v>133</v>
      </c>
      <c r="I23" s="4">
        <v>1.0</v>
      </c>
      <c r="J23" t="s">
        <v>134</v>
      </c>
      <c r="K23" t="s">
        <v>135</v>
      </c>
      <c r="L23" t="s">
        <v>201</v>
      </c>
    </row>
    <row r="24" spans="1:36">
      <c r="A24" s="3">
        <v>23</v>
      </c>
      <c r="B24" t="s">
        <v>145</v>
      </c>
      <c r="C24" s="3" t="s">
        <v>202</v>
      </c>
      <c r="D24" s="20">
        <v>44810.0</v>
      </c>
      <c r="E24" t="s">
        <v>203</v>
      </c>
      <c r="F24" s="3" t="s">
        <v>67</v>
      </c>
      <c r="G24" t="s">
        <v>68</v>
      </c>
      <c r="H24" s="3" t="s">
        <v>133</v>
      </c>
      <c r="I24" s="4">
        <v>6.0</v>
      </c>
      <c r="J24" t="s">
        <v>134</v>
      </c>
      <c r="K24" t="s">
        <v>135</v>
      </c>
      <c r="L24" t="s">
        <v>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2023-12-28T16:57:31+07:00</dcterms:created>
  <dcterms:modified xsi:type="dcterms:W3CDTF">2023-12-28T16:57:31+07:00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