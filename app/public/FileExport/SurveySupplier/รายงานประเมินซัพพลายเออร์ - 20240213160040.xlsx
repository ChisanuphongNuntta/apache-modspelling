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<sst xmlns="http://schemas.openxmlformats.org/spreadsheetml/2006/main" uniqueCount="109">
  <si>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</si>
  <si>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</si>
  <si>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</si>
  <si>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</si>
  <si>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</si>
  <si>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</si>
  <si>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</si>
  <si>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</si>
  <si>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</si>
  <si>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</si>
  <si>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</si>
  <si>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</si>
  <si>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</si>
  <si>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</si>
  <si>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</si>
  <si>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13/02/2024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</si>
  <si>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</si>
  <si>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</si>
  <si>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</si>
  <si>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</si>
  <si>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</si>
  <si>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</si>
  <si>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</si>
  <si>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</si>
  <si>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</si>
  <si>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</si>
  <si>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</si>
  <si>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</si>
  <si>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</si>
  <si>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</si>
  <si>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</si>
  <si>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</si>
  <si>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</si>
  <si>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</si>
  <si>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</si>
  <si>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</si>
  <si>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</si>
  <si>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</si>
  <si>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</si>
  <si>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</si>
  <si>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</si>
  <si>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</si>
  <si>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</si>
  <si>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01-410-041</t>
  </si>
  <si>
    <t>ตะปู K438 VIGO</t>
  </si>
  <si>
    <t>P</t>
  </si>
  <si>
    <t>DEAD</t>
  </si>
  <si>
    <t>01-410-250</t>
  </si>
  <si>
    <t>ตะปู ST18</t>
  </si>
  <si>
    <t>01-008-036</t>
  </si>
  <si>
    <t>ตะปู K440 VIGO</t>
  </si>
  <si>
    <t>01-104-010</t>
  </si>
  <si>
    <t>ตะปู 619</t>
  </si>
  <si>
    <t>D</t>
  </si>
  <si>
    <t>ZZ-000-417</t>
  </si>
  <si>
    <t>เครื่องยิงตะปูม้วน CN70B Bret</t>
  </si>
  <si>
    <t>01-105-030</t>
  </si>
  <si>
    <t>ตะปู N-17(838)</t>
  </si>
  <si>
    <t>ZZ-000-249</t>
  </si>
  <si>
    <t>ตะปู F40 VIGO</t>
  </si>
  <si>
    <t>01-105-040</t>
  </si>
  <si>
    <t>ตะปู N-19(845)</t>
  </si>
  <si>
    <t>01-410-043</t>
  </si>
  <si>
    <t>ตะปู K428 VIGO</t>
  </si>
  <si>
    <t>ZZ-000-371</t>
  </si>
  <si>
    <t>ตะปู F30 VIGO</t>
  </si>
  <si>
    <t>ZZ-000-495</t>
  </si>
  <si>
    <t>ปืน LU-851F2 Apach</t>
  </si>
  <si>
    <t>01-201-000</t>
  </si>
  <si>
    <t>ตะปู PIN S10</t>
  </si>
  <si>
    <t>01-410-042</t>
  </si>
  <si>
    <t>ตะปู K425 VIGO</t>
  </si>
  <si>
    <t>01-105-020</t>
  </si>
  <si>
    <t>ตะปู N-15(832)</t>
  </si>
  <si>
    <t>01-104-020</t>
  </si>
  <si>
    <t>ตะปู 625</t>
  </si>
  <si>
    <t>01-130-005</t>
  </si>
  <si>
    <t>ตะปู1006 สแตนเลส</t>
  </si>
  <si>
    <t>01-201-003</t>
  </si>
  <si>
    <t>ตะปู PIN S18</t>
  </si>
  <si>
    <t>01-201-004</t>
  </si>
  <si>
    <t>ตะปู PIN S20</t>
  </si>
  <si>
    <t>02-006-111</t>
  </si>
  <si>
    <t>ปืน K440 Meite</t>
  </si>
  <si>
    <t>07-005-070</t>
  </si>
  <si>
    <t>K440 BP07 สปริงกันกระแทกKING</t>
  </si>
  <si>
    <t>D22</t>
  </si>
  <si>
    <t>07-005-430</t>
  </si>
  <si>
    <t>K440 MP09 สปริงรางเดี่ยวKING</t>
  </si>
  <si>
    <t>ZZ-000-119</t>
  </si>
  <si>
    <t>เครื่องยิงลวด 635TR Meite</t>
  </si>
  <si>
    <t>ZZ-000-206</t>
  </si>
  <si>
    <t>ตะปู 838 สแตนเลส</t>
  </si>
  <si>
    <t>ZZ-000-208</t>
  </si>
  <si>
    <t>ตะปู 413 vigo</t>
  </si>
  <si>
    <t>ZZ-000-258</t>
  </si>
  <si>
    <t>ตะปู F20 VIGO</t>
  </si>
  <si>
    <t>ZZ-000-390</t>
  </si>
  <si>
    <t>ตะปู 416 VIGO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</si>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</sst>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9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9" sqref="AW2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824.0</v>
      </c>
      <c r="F3" s="5">
        <v>149885.6</v>
      </c>
      <c r="G3" s="4">
        <v>608.0</v>
      </c>
      <c r="H3" s="5">
        <v>110595.2</v>
      </c>
      <c r="I3" s="4">
        <v>80.0</v>
      </c>
      <c r="J3" s="5">
        <v>14552.0</v>
      </c>
      <c r="K3" s="4">
        <v>689.818178</v>
      </c>
      <c r="L3" s="5">
        <v>125477.926578</v>
      </c>
      <c r="M3" s="6">
        <v>0.11860832406188</v>
      </c>
      <c r="N3" s="4">
        <v>559.0</v>
      </c>
      <c r="O3" s="4">
        <v>49.272727</v>
      </c>
      <c r="P3" s="4">
        <v>50.0</v>
      </c>
      <c r="Q3" s="4">
        <v>33.0</v>
      </c>
      <c r="R3" s="7">
        <v>0</v>
      </c>
      <c r="S3" s="7">
        <v>0</v>
      </c>
      <c r="T3" s="4">
        <v>84.0</v>
      </c>
      <c r="U3" s="8" t="s">
        <v>46</v>
      </c>
      <c r="V3" s="5">
        <v>95030.0</v>
      </c>
      <c r="W3" s="5">
        <v>170.0</v>
      </c>
      <c r="X3" s="5">
        <v>110425.284</v>
      </c>
      <c r="Y3" s="5">
        <v>197.54075849732</v>
      </c>
      <c r="Z3" s="5">
        <v>15395.284</v>
      </c>
      <c r="AA3" s="5">
        <v>27.540758497317</v>
      </c>
      <c r="AB3" s="9">
        <v>0.13941810645468</v>
      </c>
      <c r="AC3" s="4">
        <v>559.0</v>
      </c>
      <c r="AD3" s="7">
        <v>0</v>
      </c>
      <c r="AE3" s="7">
        <v>0</v>
      </c>
      <c r="AF3" s="7">
        <v>0</v>
      </c>
      <c r="AG3" s="3">
        <v>0</v>
      </c>
      <c r="AH3" s="7">
        <v>0</v>
      </c>
      <c r="AI3" s="7">
        <v>0</v>
      </c>
      <c r="AJ3" s="5">
        <v>8500.0</v>
      </c>
      <c r="AK3" s="5">
        <v>170.0</v>
      </c>
      <c r="AL3" s="5">
        <v>9579.447</v>
      </c>
      <c r="AM3" s="5">
        <v>191.58894</v>
      </c>
      <c r="AN3" s="5">
        <v>1079.447</v>
      </c>
      <c r="AO3" s="5">
        <v>21.58894</v>
      </c>
      <c r="AP3" s="9">
        <v>0.11268364447342</v>
      </c>
      <c r="AQ3" s="4">
        <v>50.0</v>
      </c>
      <c r="AR3" s="7">
        <v>0</v>
      </c>
      <c r="AS3" s="7">
        <v>0</v>
      </c>
      <c r="AT3" s="7">
        <v>0</v>
      </c>
      <c r="AU3" s="3">
        <v>0</v>
      </c>
      <c r="AV3" s="7">
        <v>0</v>
      </c>
      <c r="AW3" s="7">
        <v>0</v>
      </c>
    </row>
    <row r="4" spans="1:49">
      <c r="A4" s="3">
        <v>2</v>
      </c>
      <c r="B4" s="3" t="s">
        <v>47</v>
      </c>
      <c r="C4" t="s">
        <v>48</v>
      </c>
      <c r="D4" s="3" t="s">
        <v>45</v>
      </c>
      <c r="E4" s="7">
        <v>0</v>
      </c>
      <c r="F4" s="7">
        <v>0</v>
      </c>
      <c r="G4" s="4">
        <v>400.0</v>
      </c>
      <c r="H4" s="5">
        <v>34240.0</v>
      </c>
      <c r="I4" s="7">
        <v>0</v>
      </c>
      <c r="J4" s="7">
        <v>0</v>
      </c>
      <c r="K4" s="7">
        <v>0</v>
      </c>
      <c r="L4" s="7">
        <v>0</v>
      </c>
      <c r="M4" s="10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8" t="s">
        <v>46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3">
        <v>0</v>
      </c>
      <c r="AC4" s="7">
        <v>0</v>
      </c>
      <c r="AD4" s="7">
        <v>0</v>
      </c>
      <c r="AE4" s="7">
        <v>0</v>
      </c>
      <c r="AF4" s="7">
        <v>0</v>
      </c>
      <c r="AG4" s="3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3">
        <v>0</v>
      </c>
      <c r="AQ4" s="7">
        <v>0</v>
      </c>
      <c r="AR4" s="7">
        <v>0</v>
      </c>
      <c r="AS4" s="7">
        <v>0</v>
      </c>
      <c r="AT4" s="7">
        <v>0</v>
      </c>
      <c r="AU4" s="3">
        <v>0</v>
      </c>
      <c r="AV4" s="7">
        <v>0</v>
      </c>
      <c r="AW4" s="7">
        <v>0</v>
      </c>
    </row>
    <row r="5" spans="1:49">
      <c r="A5" s="3">
        <v>3</v>
      </c>
      <c r="B5" s="3" t="s">
        <v>49</v>
      </c>
      <c r="C5" t="s">
        <v>50</v>
      </c>
      <c r="D5" s="3" t="s">
        <v>45</v>
      </c>
      <c r="E5" s="4">
        <v>160.0</v>
      </c>
      <c r="F5" s="5">
        <v>33384.0</v>
      </c>
      <c r="G5" s="4">
        <v>160.0</v>
      </c>
      <c r="H5" s="5">
        <v>33384.0</v>
      </c>
      <c r="I5" s="7">
        <v>0</v>
      </c>
      <c r="J5" s="7">
        <v>0</v>
      </c>
      <c r="K5" s="4">
        <v>203.636356</v>
      </c>
      <c r="L5" s="5">
        <v>42488.725679</v>
      </c>
      <c r="M5" s="6">
        <v>0.21428568482143</v>
      </c>
      <c r="N5" s="4">
        <v>160.0</v>
      </c>
      <c r="O5" s="4">
        <v>14.545454</v>
      </c>
      <c r="P5" s="7">
        <v>0</v>
      </c>
      <c r="Q5" s="7">
        <v>0</v>
      </c>
      <c r="R5" s="7">
        <v>0</v>
      </c>
      <c r="S5" s="7">
        <v>0</v>
      </c>
      <c r="T5" s="4">
        <v>13.333333</v>
      </c>
      <c r="U5" s="8" t="s">
        <v>46</v>
      </c>
      <c r="V5" s="5">
        <v>31200.0</v>
      </c>
      <c r="W5" s="5">
        <v>195.0</v>
      </c>
      <c r="X5" s="5">
        <v>37383.2</v>
      </c>
      <c r="Y5" s="5">
        <v>233.645</v>
      </c>
      <c r="Z5" s="5">
        <v>6183.2</v>
      </c>
      <c r="AA5" s="5">
        <v>38.645</v>
      </c>
      <c r="AB5" s="9">
        <v>0.1654005007597</v>
      </c>
      <c r="AC5" s="4">
        <v>160.0</v>
      </c>
      <c r="AD5" s="7">
        <v>0</v>
      </c>
      <c r="AE5" s="7">
        <v>0</v>
      </c>
      <c r="AF5" s="7">
        <v>0</v>
      </c>
      <c r="AG5" s="3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3">
        <v>0</v>
      </c>
      <c r="AQ5" s="7">
        <v>0</v>
      </c>
      <c r="AR5" s="7">
        <v>0</v>
      </c>
      <c r="AS5" s="7">
        <v>0</v>
      </c>
      <c r="AT5" s="7">
        <v>0</v>
      </c>
      <c r="AU5" s="3">
        <v>0</v>
      </c>
      <c r="AV5" s="7">
        <v>0</v>
      </c>
      <c r="AW5" s="7">
        <v>0</v>
      </c>
    </row>
    <row r="6" spans="1:49">
      <c r="A6" s="3">
        <v>4</v>
      </c>
      <c r="B6" s="3" t="s">
        <v>51</v>
      </c>
      <c r="C6" t="s">
        <v>52</v>
      </c>
      <c r="D6" s="3" t="s">
        <v>53</v>
      </c>
      <c r="E6" s="7">
        <v>0</v>
      </c>
      <c r="F6" s="7">
        <v>0</v>
      </c>
      <c r="G6" s="4">
        <v>31.0</v>
      </c>
      <c r="H6" s="5">
        <v>17911.8</v>
      </c>
      <c r="I6" s="7">
        <v>0</v>
      </c>
      <c r="J6" s="7">
        <v>0</v>
      </c>
      <c r="K6" s="4">
        <v>39.454534</v>
      </c>
      <c r="L6" s="5">
        <v>22796.829745</v>
      </c>
      <c r="M6" s="6">
        <v>0.21428548617505</v>
      </c>
      <c r="N6" s="4">
        <v>31.0</v>
      </c>
      <c r="O6" s="4">
        <v>2.818181</v>
      </c>
      <c r="P6" s="7">
        <v>0</v>
      </c>
      <c r="Q6" s="7">
        <v>0</v>
      </c>
      <c r="R6" s="7">
        <v>0</v>
      </c>
      <c r="S6" s="7">
        <v>0</v>
      </c>
      <c r="T6" s="4">
        <v>5.166666</v>
      </c>
      <c r="U6" s="8" t="s">
        <v>46</v>
      </c>
      <c r="V6" s="5">
        <v>16740.0</v>
      </c>
      <c r="W6" s="5">
        <v>540.0</v>
      </c>
      <c r="X6" s="5">
        <v>23294.393</v>
      </c>
      <c r="Y6" s="5">
        <v>751.43203225806</v>
      </c>
      <c r="Z6" s="5">
        <v>6554.393</v>
      </c>
      <c r="AA6" s="5">
        <v>211.43203225806</v>
      </c>
      <c r="AB6" s="11">
        <v>0.28137213105317</v>
      </c>
      <c r="AC6" s="4">
        <v>31.0</v>
      </c>
      <c r="AD6" s="7">
        <v>0</v>
      </c>
      <c r="AE6" s="7">
        <v>0</v>
      </c>
      <c r="AF6" s="7">
        <v>0</v>
      </c>
      <c r="AG6" s="3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3">
        <v>0</v>
      </c>
      <c r="AQ6" s="7">
        <v>0</v>
      </c>
      <c r="AR6" s="7">
        <v>0</v>
      </c>
      <c r="AS6" s="7">
        <v>0</v>
      </c>
      <c r="AT6" s="7">
        <v>0</v>
      </c>
      <c r="AU6" s="3">
        <v>0</v>
      </c>
      <c r="AV6" s="7">
        <v>0</v>
      </c>
      <c r="AW6" s="7">
        <v>0</v>
      </c>
    </row>
    <row r="7" spans="1:49">
      <c r="A7" s="3">
        <v>5</v>
      </c>
      <c r="B7" s="3" t="s">
        <v>54</v>
      </c>
      <c r="C7" t="s">
        <v>55</v>
      </c>
      <c r="D7" s="3" t="s">
        <v>45</v>
      </c>
      <c r="E7" s="7">
        <v>0</v>
      </c>
      <c r="F7" s="7">
        <v>0</v>
      </c>
      <c r="G7" s="4">
        <v>2.0</v>
      </c>
      <c r="H7" s="5">
        <v>14231.0</v>
      </c>
      <c r="I7" s="7">
        <v>0</v>
      </c>
      <c r="J7" s="7">
        <v>0</v>
      </c>
      <c r="K7" s="4">
        <v>2.545452</v>
      </c>
      <c r="L7" s="5">
        <v>18112.163706</v>
      </c>
      <c r="M7" s="6">
        <v>0.21428492857064</v>
      </c>
      <c r="N7" s="4">
        <v>2.0</v>
      </c>
      <c r="O7" s="4">
        <v>0.181818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8" t="s">
        <v>46</v>
      </c>
      <c r="V7" s="5">
        <v>13300.0</v>
      </c>
      <c r="W7" s="5">
        <v>6650.0</v>
      </c>
      <c r="X7" s="5">
        <v>17757.01</v>
      </c>
      <c r="Y7" s="5">
        <v>8878.505</v>
      </c>
      <c r="Z7" s="5">
        <v>4457.01</v>
      </c>
      <c r="AA7" s="5">
        <v>2228.505</v>
      </c>
      <c r="AB7" s="11">
        <v>0.25100002759474</v>
      </c>
      <c r="AC7" s="4">
        <v>2.0</v>
      </c>
      <c r="AD7" s="7">
        <v>0</v>
      </c>
      <c r="AE7" s="7">
        <v>0</v>
      </c>
      <c r="AF7" s="7">
        <v>0</v>
      </c>
      <c r="AG7" s="3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3">
        <v>0</v>
      </c>
      <c r="AQ7" s="7">
        <v>0</v>
      </c>
      <c r="AR7" s="7">
        <v>0</v>
      </c>
      <c r="AS7" s="7">
        <v>0</v>
      </c>
      <c r="AT7" s="7">
        <v>0</v>
      </c>
      <c r="AU7" s="3">
        <v>0</v>
      </c>
      <c r="AV7" s="7">
        <v>0</v>
      </c>
      <c r="AW7" s="7">
        <v>0</v>
      </c>
    </row>
    <row r="8" spans="1:49">
      <c r="A8" s="3">
        <v>6</v>
      </c>
      <c r="B8" s="3" t="s">
        <v>56</v>
      </c>
      <c r="C8" t="s">
        <v>57</v>
      </c>
      <c r="D8" s="3" t="s">
        <v>45</v>
      </c>
      <c r="E8" s="4">
        <v>25.0</v>
      </c>
      <c r="F8" s="5">
        <v>18190.0</v>
      </c>
      <c r="G8" s="4">
        <v>19.0</v>
      </c>
      <c r="H8" s="5">
        <v>13824.4</v>
      </c>
      <c r="I8" s="4">
        <v>2.0</v>
      </c>
      <c r="J8" s="5">
        <v>1455.2</v>
      </c>
      <c r="K8" s="4">
        <v>24.181808</v>
      </c>
      <c r="L8" s="5">
        <v>17594.683501</v>
      </c>
      <c r="M8" s="6">
        <v>0.21428538345851</v>
      </c>
      <c r="N8" s="4">
        <v>19.0</v>
      </c>
      <c r="O8" s="4">
        <v>1.727272</v>
      </c>
      <c r="P8" s="4">
        <v>3.0</v>
      </c>
      <c r="Q8" s="4">
        <v>2.0</v>
      </c>
      <c r="R8" s="7">
        <v>0</v>
      </c>
      <c r="S8" s="7">
        <v>0</v>
      </c>
      <c r="T8" s="4">
        <v>3.333333</v>
      </c>
      <c r="U8" s="8" t="s">
        <v>46</v>
      </c>
      <c r="V8" s="5">
        <v>12920.0</v>
      </c>
      <c r="W8" s="5">
        <v>680.0</v>
      </c>
      <c r="X8" s="5">
        <v>16758.0</v>
      </c>
      <c r="Y8" s="5">
        <v>882.0</v>
      </c>
      <c r="Z8" s="5">
        <v>3838.0</v>
      </c>
      <c r="AA8" s="5">
        <v>202.0</v>
      </c>
      <c r="AB8" s="9">
        <v>0.22902494331066</v>
      </c>
      <c r="AC8" s="4">
        <v>19.0</v>
      </c>
      <c r="AD8" s="7">
        <v>0</v>
      </c>
      <c r="AE8" s="7">
        <v>0</v>
      </c>
      <c r="AF8" s="7">
        <v>0</v>
      </c>
      <c r="AG8" s="3">
        <v>0</v>
      </c>
      <c r="AH8" s="7">
        <v>0</v>
      </c>
      <c r="AI8" s="7">
        <v>0</v>
      </c>
      <c r="AJ8" s="5">
        <v>2040.0</v>
      </c>
      <c r="AK8" s="5">
        <v>680.0</v>
      </c>
      <c r="AL8" s="5">
        <v>2646.0</v>
      </c>
      <c r="AM8" s="5">
        <v>882.0</v>
      </c>
      <c r="AN8" s="5">
        <v>606.0</v>
      </c>
      <c r="AO8" s="5">
        <v>202.0</v>
      </c>
      <c r="AP8" s="9">
        <v>0.22902494331066</v>
      </c>
      <c r="AQ8" s="4">
        <v>3.0</v>
      </c>
      <c r="AR8" s="7">
        <v>0</v>
      </c>
      <c r="AS8" s="7">
        <v>0</v>
      </c>
      <c r="AT8" s="7">
        <v>0</v>
      </c>
      <c r="AU8" s="3">
        <v>0</v>
      </c>
      <c r="AV8" s="7">
        <v>0</v>
      </c>
      <c r="AW8" s="7">
        <v>0</v>
      </c>
    </row>
    <row r="9" spans="1:49">
      <c r="A9" s="3">
        <v>7</v>
      </c>
      <c r="B9" s="3" t="s">
        <v>58</v>
      </c>
      <c r="C9" t="s">
        <v>59</v>
      </c>
      <c r="D9" s="3" t="s">
        <v>45</v>
      </c>
      <c r="E9" s="4">
        <v>86.0</v>
      </c>
      <c r="F9" s="5">
        <v>7729.68</v>
      </c>
      <c r="G9" s="4">
        <v>108.0</v>
      </c>
      <c r="H9" s="5">
        <v>9707.04</v>
      </c>
      <c r="I9" s="7">
        <v>0</v>
      </c>
      <c r="J9" s="7">
        <v>0</v>
      </c>
      <c r="K9" s="4">
        <v>137.454534</v>
      </c>
      <c r="L9" s="5">
        <v>12354.413516</v>
      </c>
      <c r="M9" s="6">
        <v>0.21428564880952</v>
      </c>
      <c r="N9" s="4">
        <v>108.0</v>
      </c>
      <c r="O9" s="4">
        <v>9.818181</v>
      </c>
      <c r="P9" s="7">
        <v>0</v>
      </c>
      <c r="Q9" s="7">
        <v>0</v>
      </c>
      <c r="R9" s="7">
        <v>0</v>
      </c>
      <c r="S9" s="7">
        <v>0</v>
      </c>
      <c r="T9" s="4">
        <v>18.0</v>
      </c>
      <c r="U9" s="8" t="s">
        <v>46</v>
      </c>
      <c r="V9" s="5">
        <v>9072.0</v>
      </c>
      <c r="W9" s="5">
        <v>84.0</v>
      </c>
      <c r="X9" s="5">
        <v>12112.2</v>
      </c>
      <c r="Y9" s="5">
        <v>112.15</v>
      </c>
      <c r="Z9" s="5">
        <v>3040.2</v>
      </c>
      <c r="AA9" s="5">
        <v>28.15</v>
      </c>
      <c r="AB9" s="11">
        <v>0.25100312082033</v>
      </c>
      <c r="AC9" s="4">
        <v>108.0</v>
      </c>
      <c r="AD9" s="7">
        <v>0</v>
      </c>
      <c r="AE9" s="7">
        <v>0</v>
      </c>
      <c r="AF9" s="7">
        <v>0</v>
      </c>
      <c r="AG9" s="3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3">
        <v>0</v>
      </c>
      <c r="AQ9" s="7">
        <v>0</v>
      </c>
      <c r="AR9" s="7">
        <v>0</v>
      </c>
      <c r="AS9" s="7">
        <v>0</v>
      </c>
      <c r="AT9" s="7">
        <v>0</v>
      </c>
      <c r="AU9" s="3">
        <v>0</v>
      </c>
      <c r="AV9" s="7">
        <v>0</v>
      </c>
      <c r="AW9" s="7">
        <v>0</v>
      </c>
    </row>
    <row r="10" spans="1:49">
      <c r="A10" s="3">
        <v>8</v>
      </c>
      <c r="B10" s="3" t="s">
        <v>60</v>
      </c>
      <c r="C10" t="s">
        <v>61</v>
      </c>
      <c r="D10" s="3" t="s">
        <v>53</v>
      </c>
      <c r="E10" s="4">
        <v>27.0</v>
      </c>
      <c r="F10" s="5">
        <v>21667.5</v>
      </c>
      <c r="G10" s="4">
        <v>12.0</v>
      </c>
      <c r="H10" s="5">
        <v>9630.0</v>
      </c>
      <c r="I10" s="4">
        <v>2.0</v>
      </c>
      <c r="J10" s="5">
        <v>1605.0</v>
      </c>
      <c r="K10" s="4">
        <v>16.545452</v>
      </c>
      <c r="L10" s="5">
        <v>13277.72523</v>
      </c>
      <c r="M10" s="6">
        <v>0.27472516314453</v>
      </c>
      <c r="N10" s="4">
        <v>13.0</v>
      </c>
      <c r="O10" s="4">
        <v>1.181818</v>
      </c>
      <c r="P10" s="4">
        <v>3.0</v>
      </c>
      <c r="Q10" s="4">
        <v>2.0</v>
      </c>
      <c r="R10" s="7">
        <v>0</v>
      </c>
      <c r="S10" s="7">
        <v>0</v>
      </c>
      <c r="T10" s="4">
        <v>2.333333</v>
      </c>
      <c r="U10" s="8" t="s">
        <v>46</v>
      </c>
      <c r="V10" s="5">
        <v>9750.0</v>
      </c>
      <c r="W10" s="5">
        <v>750.0</v>
      </c>
      <c r="X10" s="5">
        <v>13377.0</v>
      </c>
      <c r="Y10" s="5">
        <v>1029.0</v>
      </c>
      <c r="Z10" s="5">
        <v>3627.0</v>
      </c>
      <c r="AA10" s="5">
        <v>279.0</v>
      </c>
      <c r="AB10" s="11">
        <v>0.27113702623907</v>
      </c>
      <c r="AC10" s="4">
        <v>13.0</v>
      </c>
      <c r="AD10" s="7">
        <v>0</v>
      </c>
      <c r="AE10" s="7">
        <v>0</v>
      </c>
      <c r="AF10" s="7">
        <v>0</v>
      </c>
      <c r="AG10" s="3">
        <v>0</v>
      </c>
      <c r="AH10" s="7">
        <v>0</v>
      </c>
      <c r="AI10" s="7">
        <v>0</v>
      </c>
      <c r="AJ10" s="5">
        <v>2250.0</v>
      </c>
      <c r="AK10" s="5">
        <v>750.0</v>
      </c>
      <c r="AL10" s="5">
        <v>3087.0</v>
      </c>
      <c r="AM10" s="5">
        <v>1029.0</v>
      </c>
      <c r="AN10" s="5">
        <v>837.0</v>
      </c>
      <c r="AO10" s="5">
        <v>279.0</v>
      </c>
      <c r="AP10" s="11">
        <v>0.27113702623907</v>
      </c>
      <c r="AQ10" s="4">
        <v>3.0</v>
      </c>
      <c r="AR10" s="7">
        <v>0</v>
      </c>
      <c r="AS10" s="7">
        <v>0</v>
      </c>
      <c r="AT10" s="7">
        <v>0</v>
      </c>
      <c r="AU10" s="3">
        <v>0</v>
      </c>
      <c r="AV10" s="7">
        <v>0</v>
      </c>
      <c r="AW10" s="7">
        <v>0</v>
      </c>
    </row>
    <row r="11" spans="1:49">
      <c r="A11" s="3">
        <v>9</v>
      </c>
      <c r="B11" s="3" t="s">
        <v>62</v>
      </c>
      <c r="C11" t="s">
        <v>63</v>
      </c>
      <c r="D11" s="3" t="s">
        <v>45</v>
      </c>
      <c r="E11" s="4">
        <v>70.0</v>
      </c>
      <c r="F11" s="5">
        <v>11235.0</v>
      </c>
      <c r="G11" s="4">
        <v>50.0</v>
      </c>
      <c r="H11" s="5">
        <v>8025.0</v>
      </c>
      <c r="I11" s="7">
        <v>0</v>
      </c>
      <c r="J11" s="7">
        <v>0</v>
      </c>
      <c r="K11" s="4">
        <v>62.36363</v>
      </c>
      <c r="L11" s="5">
        <v>10009.362615</v>
      </c>
      <c r="M11" s="6">
        <v>0.19825064705182</v>
      </c>
      <c r="N11" s="4">
        <v>49.0</v>
      </c>
      <c r="O11" s="4">
        <v>4.454545</v>
      </c>
      <c r="P11" s="4">
        <v>2.0</v>
      </c>
      <c r="Q11" s="4">
        <v>2.0</v>
      </c>
      <c r="R11" s="7">
        <v>0</v>
      </c>
      <c r="S11" s="7">
        <v>0</v>
      </c>
      <c r="T11" s="4">
        <v>8.5</v>
      </c>
      <c r="U11" s="8" t="s">
        <v>46</v>
      </c>
      <c r="V11" s="5">
        <v>7350.0</v>
      </c>
      <c r="W11" s="5">
        <v>150.0</v>
      </c>
      <c r="X11" s="5">
        <v>9598.146</v>
      </c>
      <c r="Y11" s="5">
        <v>195.88053061224</v>
      </c>
      <c r="Z11" s="5">
        <v>2248.146</v>
      </c>
      <c r="AA11" s="5">
        <v>45.880530612245</v>
      </c>
      <c r="AB11" s="9">
        <v>0.23422711011064</v>
      </c>
      <c r="AC11" s="4">
        <v>49.0</v>
      </c>
      <c r="AD11" s="7">
        <v>0</v>
      </c>
      <c r="AE11" s="7">
        <v>0</v>
      </c>
      <c r="AF11" s="7">
        <v>0</v>
      </c>
      <c r="AG11" s="3">
        <v>0</v>
      </c>
      <c r="AH11" s="7">
        <v>0</v>
      </c>
      <c r="AI11" s="7">
        <v>0</v>
      </c>
      <c r="AJ11" s="5">
        <v>300.0</v>
      </c>
      <c r="AK11" s="5">
        <v>150.0</v>
      </c>
      <c r="AL11" s="5">
        <v>383.178</v>
      </c>
      <c r="AM11" s="5">
        <v>191.589</v>
      </c>
      <c r="AN11" s="5">
        <v>83.178</v>
      </c>
      <c r="AO11" s="5">
        <v>41.589</v>
      </c>
      <c r="AP11" s="9">
        <v>0.21707404913643</v>
      </c>
      <c r="AQ11" s="4">
        <v>2.0</v>
      </c>
      <c r="AR11" s="7">
        <v>0</v>
      </c>
      <c r="AS11" s="7">
        <v>0</v>
      </c>
      <c r="AT11" s="7">
        <v>0</v>
      </c>
      <c r="AU11" s="3">
        <v>0</v>
      </c>
      <c r="AV11" s="7">
        <v>0</v>
      </c>
      <c r="AW11" s="7">
        <v>0</v>
      </c>
    </row>
    <row r="12" spans="1:49">
      <c r="A12" s="3">
        <v>10</v>
      </c>
      <c r="B12" s="3" t="s">
        <v>64</v>
      </c>
      <c r="C12" t="s">
        <v>65</v>
      </c>
      <c r="D12" s="3" t="s">
        <v>45</v>
      </c>
      <c r="E12" s="4">
        <v>72.0</v>
      </c>
      <c r="F12" s="5">
        <v>4545.36</v>
      </c>
      <c r="G12" s="4">
        <v>120.0</v>
      </c>
      <c r="H12" s="5">
        <v>7575.6</v>
      </c>
      <c r="I12" s="7">
        <v>0</v>
      </c>
      <c r="J12" s="7">
        <v>0</v>
      </c>
      <c r="K12" s="4">
        <v>152.72726</v>
      </c>
      <c r="L12" s="5">
        <v>9641.671924</v>
      </c>
      <c r="M12" s="6">
        <v>0.21428564880952</v>
      </c>
      <c r="N12" s="4">
        <v>120.0</v>
      </c>
      <c r="O12" s="4">
        <v>10.90909</v>
      </c>
      <c r="P12" s="7">
        <v>0</v>
      </c>
      <c r="Q12" s="7">
        <v>0</v>
      </c>
      <c r="R12" s="7">
        <v>0</v>
      </c>
      <c r="S12" s="7">
        <v>0</v>
      </c>
      <c r="T12" s="4">
        <v>20.0</v>
      </c>
      <c r="U12" s="8" t="s">
        <v>46</v>
      </c>
      <c r="V12" s="5">
        <v>7080.0</v>
      </c>
      <c r="W12" s="5">
        <v>59.0</v>
      </c>
      <c r="X12" s="5">
        <v>9532.8</v>
      </c>
      <c r="Y12" s="5">
        <v>79.44</v>
      </c>
      <c r="Z12" s="5">
        <v>2452.8</v>
      </c>
      <c r="AA12" s="5">
        <v>20.44</v>
      </c>
      <c r="AB12" s="11">
        <v>0.25730110775428</v>
      </c>
      <c r="AC12" s="4">
        <v>120.0</v>
      </c>
      <c r="AD12" s="7">
        <v>0</v>
      </c>
      <c r="AE12" s="7">
        <v>0</v>
      </c>
      <c r="AF12" s="7">
        <v>0</v>
      </c>
      <c r="AG12" s="3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3">
        <v>0</v>
      </c>
      <c r="AQ12" s="7">
        <v>0</v>
      </c>
      <c r="AR12" s="7">
        <v>0</v>
      </c>
      <c r="AS12" s="7">
        <v>0</v>
      </c>
      <c r="AT12" s="7">
        <v>0</v>
      </c>
      <c r="AU12" s="3">
        <v>0</v>
      </c>
      <c r="AV12" s="7">
        <v>0</v>
      </c>
      <c r="AW12" s="7">
        <v>0</v>
      </c>
    </row>
    <row r="13" spans="1:49">
      <c r="A13" s="3">
        <v>11</v>
      </c>
      <c r="B13" s="3" t="s">
        <v>66</v>
      </c>
      <c r="C13" t="s">
        <v>67</v>
      </c>
      <c r="D13" s="3" t="s">
        <v>45</v>
      </c>
      <c r="E13" s="7">
        <v>0</v>
      </c>
      <c r="F13" s="7">
        <v>0</v>
      </c>
      <c r="G13" s="4">
        <v>1.0</v>
      </c>
      <c r="H13" s="5">
        <v>7115.5</v>
      </c>
      <c r="I13" s="7">
        <v>0</v>
      </c>
      <c r="J13" s="7">
        <v>0</v>
      </c>
      <c r="K13" s="4">
        <v>1.272726</v>
      </c>
      <c r="L13" s="5">
        <v>9056.081853</v>
      </c>
      <c r="M13" s="6">
        <v>0.21428492857064</v>
      </c>
      <c r="N13" s="4">
        <v>1.0</v>
      </c>
      <c r="O13" s="4">
        <v>0.090909</v>
      </c>
      <c r="P13" s="7">
        <v>0</v>
      </c>
      <c r="Q13" s="7">
        <v>0</v>
      </c>
      <c r="R13" s="7">
        <v>0</v>
      </c>
      <c r="S13" s="7">
        <v>0</v>
      </c>
      <c r="T13" s="4">
        <v>0.166666</v>
      </c>
      <c r="U13" s="8" t="s">
        <v>46</v>
      </c>
      <c r="V13" s="5">
        <v>6650.0</v>
      </c>
      <c r="W13" s="5">
        <v>6650.0</v>
      </c>
      <c r="X13" s="5">
        <v>9616.822</v>
      </c>
      <c r="Y13" s="5">
        <v>9616.822</v>
      </c>
      <c r="Z13" s="5">
        <v>2966.822</v>
      </c>
      <c r="AA13" s="5">
        <v>2966.822</v>
      </c>
      <c r="AB13" s="11">
        <v>0.30850337044816</v>
      </c>
      <c r="AC13" s="4">
        <v>1.0</v>
      </c>
      <c r="AD13" s="7">
        <v>0</v>
      </c>
      <c r="AE13" s="7">
        <v>0</v>
      </c>
      <c r="AF13" s="7">
        <v>0</v>
      </c>
      <c r="AG13" s="3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3">
        <v>0</v>
      </c>
      <c r="AQ13" s="7">
        <v>0</v>
      </c>
      <c r="AR13" s="7">
        <v>0</v>
      </c>
      <c r="AS13" s="7">
        <v>0</v>
      </c>
      <c r="AT13" s="7">
        <v>0</v>
      </c>
      <c r="AU13" s="3">
        <v>0</v>
      </c>
      <c r="AV13" s="7">
        <v>0</v>
      </c>
      <c r="AW13" s="7">
        <v>0</v>
      </c>
    </row>
    <row r="14" spans="1:49">
      <c r="A14" s="3">
        <v>12</v>
      </c>
      <c r="B14" s="3" t="s">
        <v>68</v>
      </c>
      <c r="C14" t="s">
        <v>69</v>
      </c>
      <c r="D14" s="3" t="s">
        <v>53</v>
      </c>
      <c r="E14" s="4">
        <v>146.0</v>
      </c>
      <c r="F14" s="5">
        <v>17184.2</v>
      </c>
      <c r="G14" s="4">
        <v>48.0</v>
      </c>
      <c r="H14" s="5">
        <v>4365.6</v>
      </c>
      <c r="I14" s="4">
        <v>48.0</v>
      </c>
      <c r="J14" s="5">
        <v>5649.6</v>
      </c>
      <c r="K14" s="4">
        <v>64.909082</v>
      </c>
      <c r="L14" s="5">
        <v>7639.798951</v>
      </c>
      <c r="M14" s="6">
        <v>0.26050410018124</v>
      </c>
      <c r="N14" s="4">
        <v>51.0</v>
      </c>
      <c r="O14" s="4">
        <v>4.636363</v>
      </c>
      <c r="P14" s="4">
        <v>49.0</v>
      </c>
      <c r="Q14" s="4">
        <v>48.0</v>
      </c>
      <c r="R14" s="7">
        <v>0</v>
      </c>
      <c r="S14" s="7">
        <v>0</v>
      </c>
      <c r="T14" s="4">
        <v>16.666666</v>
      </c>
      <c r="U14" s="8" t="s">
        <v>46</v>
      </c>
      <c r="V14" s="5">
        <v>13414.293</v>
      </c>
      <c r="W14" s="5">
        <v>263.02535294118</v>
      </c>
      <c r="X14" s="5">
        <v>7578.504</v>
      </c>
      <c r="Y14" s="5">
        <v>148.59811764706</v>
      </c>
      <c r="Z14" s="5">
        <v>-5835.789</v>
      </c>
      <c r="AA14" s="5">
        <v>-114.42723529412</v>
      </c>
      <c r="AB14" s="12">
        <v>-0.77004498513163</v>
      </c>
      <c r="AC14" s="4">
        <v>51.0</v>
      </c>
      <c r="AD14" s="7">
        <v>0</v>
      </c>
      <c r="AE14" s="7">
        <v>0</v>
      </c>
      <c r="AF14" s="7">
        <v>0</v>
      </c>
      <c r="AG14" s="3">
        <v>0</v>
      </c>
      <c r="AH14" s="7">
        <v>0</v>
      </c>
      <c r="AI14" s="7">
        <v>0</v>
      </c>
      <c r="AJ14" s="5">
        <v>5339.992</v>
      </c>
      <c r="AK14" s="5">
        <v>108.97942857143</v>
      </c>
      <c r="AL14" s="5">
        <v>6182.232</v>
      </c>
      <c r="AM14" s="5">
        <v>126.168</v>
      </c>
      <c r="AN14" s="5">
        <v>842.24</v>
      </c>
      <c r="AO14" s="5">
        <v>17.188571428571</v>
      </c>
      <c r="AP14" s="9">
        <v>0.13623558611194</v>
      </c>
      <c r="AQ14" s="4">
        <v>49.0</v>
      </c>
      <c r="AR14" s="7">
        <v>0</v>
      </c>
      <c r="AS14" s="7">
        <v>0</v>
      </c>
      <c r="AT14" s="7">
        <v>0</v>
      </c>
      <c r="AU14" s="3">
        <v>0</v>
      </c>
      <c r="AV14" s="7">
        <v>0</v>
      </c>
      <c r="AW14" s="7">
        <v>0</v>
      </c>
    </row>
    <row r="15" spans="1:49">
      <c r="A15" s="3">
        <v>13</v>
      </c>
      <c r="B15" s="3" t="s">
        <v>70</v>
      </c>
      <c r="C15" t="s">
        <v>71</v>
      </c>
      <c r="D15" s="3" t="s">
        <v>45</v>
      </c>
      <c r="E15" s="4">
        <v>20.0</v>
      </c>
      <c r="F15" s="5">
        <v>3103.0</v>
      </c>
      <c r="G15" s="4">
        <v>20.0</v>
      </c>
      <c r="H15" s="5">
        <v>3103.0</v>
      </c>
      <c r="I15" s="7">
        <v>0</v>
      </c>
      <c r="J15" s="7">
        <v>0</v>
      </c>
      <c r="K15" s="4">
        <v>11.454534</v>
      </c>
      <c r="L15" s="5">
        <v>1777.17095</v>
      </c>
      <c r="M15" s="13">
        <v>-0.74603349206524</v>
      </c>
      <c r="N15" s="4">
        <v>9.0</v>
      </c>
      <c r="O15" s="4">
        <v>0.818181</v>
      </c>
      <c r="P15" s="7">
        <v>0</v>
      </c>
      <c r="Q15" s="7">
        <v>0</v>
      </c>
      <c r="R15" s="7">
        <v>0</v>
      </c>
      <c r="S15" s="7">
        <v>0</v>
      </c>
      <c r="T15" s="4">
        <v>1.166666</v>
      </c>
      <c r="U15" s="8" t="s">
        <v>46</v>
      </c>
      <c r="V15" s="5">
        <v>1305.0</v>
      </c>
      <c r="W15" s="5">
        <v>145.0</v>
      </c>
      <c r="X15" s="5">
        <v>1710.282</v>
      </c>
      <c r="Y15" s="5">
        <v>190.03133333333</v>
      </c>
      <c r="Z15" s="5">
        <v>405.282</v>
      </c>
      <c r="AA15" s="5">
        <v>45.031333333333</v>
      </c>
      <c r="AB15" s="9">
        <v>0.23696793862065</v>
      </c>
      <c r="AC15" s="4">
        <v>9.0</v>
      </c>
      <c r="AD15" s="7">
        <v>0</v>
      </c>
      <c r="AE15" s="7">
        <v>0</v>
      </c>
      <c r="AF15" s="7">
        <v>0</v>
      </c>
      <c r="AG15" s="3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3">
        <v>0</v>
      </c>
      <c r="AQ15" s="7">
        <v>0</v>
      </c>
      <c r="AR15" s="7">
        <v>0</v>
      </c>
      <c r="AS15" s="7">
        <v>0</v>
      </c>
      <c r="AT15" s="7">
        <v>0</v>
      </c>
      <c r="AU15" s="3">
        <v>0</v>
      </c>
      <c r="AV15" s="7">
        <v>0</v>
      </c>
      <c r="AW15" s="7">
        <v>0</v>
      </c>
    </row>
    <row r="16" spans="1:49">
      <c r="A16" s="3">
        <v>14</v>
      </c>
      <c r="B16" s="3" t="s">
        <v>72</v>
      </c>
      <c r="C16" t="s">
        <v>73</v>
      </c>
      <c r="D16" s="3" t="s">
        <v>53</v>
      </c>
      <c r="E16" s="4">
        <v>10.0</v>
      </c>
      <c r="F16" s="5">
        <v>7276.0</v>
      </c>
      <c r="G16" s="4">
        <v>2.0</v>
      </c>
      <c r="H16" s="5">
        <v>1455.2</v>
      </c>
      <c r="I16" s="7">
        <v>0</v>
      </c>
      <c r="J16" s="7">
        <v>0</v>
      </c>
      <c r="K16" s="4">
        <v>2.545452</v>
      </c>
      <c r="L16" s="5">
        <v>1852.070875</v>
      </c>
      <c r="M16" s="6">
        <v>0.21428492857064</v>
      </c>
      <c r="N16" s="4">
        <v>2.0</v>
      </c>
      <c r="O16" s="4">
        <v>0.181818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8" t="s">
        <v>46</v>
      </c>
      <c r="V16" s="5">
        <v>1200.0</v>
      </c>
      <c r="W16" s="5">
        <v>600.0</v>
      </c>
      <c r="X16" s="5">
        <v>1588.786</v>
      </c>
      <c r="Y16" s="5">
        <v>794.393</v>
      </c>
      <c r="Z16" s="5">
        <v>388.786</v>
      </c>
      <c r="AA16" s="5">
        <v>194.393</v>
      </c>
      <c r="AB16" s="9">
        <v>0.24470633552914</v>
      </c>
      <c r="AC16" s="4">
        <v>2.0</v>
      </c>
      <c r="AD16" s="7">
        <v>0</v>
      </c>
      <c r="AE16" s="7">
        <v>0</v>
      </c>
      <c r="AF16" s="7">
        <v>0</v>
      </c>
      <c r="AG16" s="3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3">
        <v>0</v>
      </c>
      <c r="AQ16" s="7">
        <v>0</v>
      </c>
      <c r="AR16" s="7">
        <v>0</v>
      </c>
      <c r="AS16" s="7">
        <v>0</v>
      </c>
      <c r="AT16" s="7">
        <v>0</v>
      </c>
      <c r="AU16" s="3">
        <v>0</v>
      </c>
      <c r="AV16" s="7">
        <v>0</v>
      </c>
      <c r="AW16" s="7">
        <v>0</v>
      </c>
    </row>
    <row r="17" spans="1:49">
      <c r="A17" s="3">
        <v>15</v>
      </c>
      <c r="B17" s="3" t="s">
        <v>74</v>
      </c>
      <c r="C17" t="s">
        <v>75</v>
      </c>
      <c r="D17" s="3" t="s">
        <v>53</v>
      </c>
      <c r="E17" s="4">
        <v>1.0</v>
      </c>
      <c r="F17" s="5">
        <v>642.0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10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8" t="s">
        <v>46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3">
        <v>0</v>
      </c>
      <c r="AC17" s="7">
        <v>0</v>
      </c>
      <c r="AD17" s="7">
        <v>0</v>
      </c>
      <c r="AE17" s="7">
        <v>0</v>
      </c>
      <c r="AF17" s="7">
        <v>0</v>
      </c>
      <c r="AG17" s="3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3">
        <v>0</v>
      </c>
      <c r="AQ17" s="7">
        <v>0</v>
      </c>
      <c r="AR17" s="7">
        <v>0</v>
      </c>
      <c r="AS17" s="7">
        <v>0</v>
      </c>
      <c r="AT17" s="7">
        <v>0</v>
      </c>
      <c r="AU17" s="3">
        <v>0</v>
      </c>
      <c r="AV17" s="7">
        <v>0</v>
      </c>
      <c r="AW17" s="7">
        <v>0</v>
      </c>
    </row>
    <row r="18" spans="1:49">
      <c r="A18" s="3">
        <v>16</v>
      </c>
      <c r="B18" s="3" t="s">
        <v>76</v>
      </c>
      <c r="C18" t="s">
        <v>77</v>
      </c>
      <c r="D18" s="3" t="s">
        <v>53</v>
      </c>
      <c r="E18" s="4">
        <v>1.0</v>
      </c>
      <c r="F18" s="5">
        <v>267.5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10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8" t="s">
        <v>46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3">
        <v>0</v>
      </c>
      <c r="AC18" s="7">
        <v>0</v>
      </c>
      <c r="AD18" s="7">
        <v>0</v>
      </c>
      <c r="AE18" s="7">
        <v>0</v>
      </c>
      <c r="AF18" s="7">
        <v>0</v>
      </c>
      <c r="AG18" s="3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3">
        <v>0</v>
      </c>
      <c r="AQ18" s="7">
        <v>0</v>
      </c>
      <c r="AR18" s="7">
        <v>0</v>
      </c>
      <c r="AS18" s="7">
        <v>0</v>
      </c>
      <c r="AT18" s="7">
        <v>0</v>
      </c>
      <c r="AU18" s="3">
        <v>0</v>
      </c>
      <c r="AV18" s="7">
        <v>0</v>
      </c>
      <c r="AW18" s="7">
        <v>0</v>
      </c>
    </row>
    <row r="19" spans="1:49">
      <c r="A19" s="3">
        <v>17</v>
      </c>
      <c r="B19" s="3" t="s">
        <v>78</v>
      </c>
      <c r="C19" t="s">
        <v>79</v>
      </c>
      <c r="D19" s="3" t="s">
        <v>53</v>
      </c>
      <c r="E19" s="4">
        <v>97.0</v>
      </c>
      <c r="F19" s="5">
        <v>13011.2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10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8" t="s">
        <v>46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3">
        <v>0</v>
      </c>
      <c r="AC19" s="7">
        <v>0</v>
      </c>
      <c r="AD19" s="7">
        <v>0</v>
      </c>
      <c r="AE19" s="7">
        <v>0</v>
      </c>
      <c r="AF19" s="7">
        <v>0</v>
      </c>
      <c r="AG19" s="3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3">
        <v>0</v>
      </c>
      <c r="AQ19" s="7">
        <v>0</v>
      </c>
      <c r="AR19" s="7">
        <v>0</v>
      </c>
      <c r="AS19" s="7">
        <v>0</v>
      </c>
      <c r="AT19" s="7">
        <v>0</v>
      </c>
      <c r="AU19" s="3">
        <v>0</v>
      </c>
      <c r="AV19" s="7">
        <v>0</v>
      </c>
      <c r="AW19" s="7">
        <v>0</v>
      </c>
    </row>
    <row r="20" spans="1:49">
      <c r="A20" s="3">
        <v>18</v>
      </c>
      <c r="B20" s="3" t="s">
        <v>80</v>
      </c>
      <c r="C20" t="s">
        <v>81</v>
      </c>
      <c r="D20" s="3" t="s">
        <v>53</v>
      </c>
      <c r="E20" s="4">
        <v>106.0</v>
      </c>
      <c r="F20" s="5">
        <v>15878.8</v>
      </c>
      <c r="G20" s="7">
        <v>0</v>
      </c>
      <c r="H20" s="7">
        <v>0</v>
      </c>
      <c r="I20" s="4">
        <v>20.0</v>
      </c>
      <c r="J20" s="5">
        <v>3317.0</v>
      </c>
      <c r="K20" s="7">
        <v>0</v>
      </c>
      <c r="L20" s="7">
        <v>0</v>
      </c>
      <c r="M20" s="10">
        <v>0</v>
      </c>
      <c r="N20" s="7">
        <v>0</v>
      </c>
      <c r="O20" s="7">
        <v>0</v>
      </c>
      <c r="P20" s="4">
        <v>20.0</v>
      </c>
      <c r="Q20" s="4">
        <v>20.0</v>
      </c>
      <c r="R20" s="7">
        <v>0</v>
      </c>
      <c r="S20" s="7">
        <v>0</v>
      </c>
      <c r="T20" s="4">
        <v>3.333333</v>
      </c>
      <c r="U20" s="8" t="s">
        <v>46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3">
        <v>0</v>
      </c>
      <c r="AC20" s="7">
        <v>0</v>
      </c>
      <c r="AD20" s="7">
        <v>0</v>
      </c>
      <c r="AE20" s="7">
        <v>0</v>
      </c>
      <c r="AF20" s="7">
        <v>0</v>
      </c>
      <c r="AG20" s="3">
        <v>0</v>
      </c>
      <c r="AH20" s="7">
        <v>0</v>
      </c>
      <c r="AI20" s="7">
        <v>0</v>
      </c>
      <c r="AJ20" s="5">
        <v>3100.0</v>
      </c>
      <c r="AK20" s="5">
        <v>155.0</v>
      </c>
      <c r="AL20" s="5">
        <v>4205.61</v>
      </c>
      <c r="AM20" s="5">
        <v>210.2805</v>
      </c>
      <c r="AN20" s="5">
        <v>1105.61</v>
      </c>
      <c r="AO20" s="5">
        <v>55.2805</v>
      </c>
      <c r="AP20" s="11">
        <v>0.26288933115529</v>
      </c>
      <c r="AQ20" s="4">
        <v>20.0</v>
      </c>
      <c r="AR20" s="7">
        <v>0</v>
      </c>
      <c r="AS20" s="7">
        <v>0</v>
      </c>
      <c r="AT20" s="7">
        <v>0</v>
      </c>
      <c r="AU20" s="3">
        <v>0</v>
      </c>
      <c r="AV20" s="7">
        <v>0</v>
      </c>
      <c r="AW20" s="7">
        <v>0</v>
      </c>
    </row>
    <row r="21" spans="1:49">
      <c r="A21" s="3">
        <v>19</v>
      </c>
      <c r="B21" s="3" t="s">
        <v>82</v>
      </c>
      <c r="C21" t="s">
        <v>83</v>
      </c>
      <c r="D21" s="3" t="s">
        <v>45</v>
      </c>
      <c r="E21" s="4">
        <v>3.0</v>
      </c>
      <c r="F21" s="5">
        <v>8763.3</v>
      </c>
      <c r="G21" s="7">
        <v>0</v>
      </c>
      <c r="H21" s="7">
        <v>0</v>
      </c>
      <c r="I21" s="4">
        <v>1.0</v>
      </c>
      <c r="J21" s="5">
        <v>2921.1</v>
      </c>
      <c r="K21" s="7">
        <v>0</v>
      </c>
      <c r="L21" s="7">
        <v>0</v>
      </c>
      <c r="M21" s="10">
        <v>0</v>
      </c>
      <c r="N21" s="7">
        <v>0</v>
      </c>
      <c r="O21" s="7">
        <v>0</v>
      </c>
      <c r="P21" s="4">
        <v>1.0</v>
      </c>
      <c r="Q21" s="4">
        <v>1.0</v>
      </c>
      <c r="R21" s="7">
        <v>0</v>
      </c>
      <c r="S21" s="7">
        <v>0</v>
      </c>
      <c r="T21" s="4">
        <v>0.166666</v>
      </c>
      <c r="U21" s="8" t="s">
        <v>46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3">
        <v>0</v>
      </c>
      <c r="AC21" s="7">
        <v>0</v>
      </c>
      <c r="AD21" s="7">
        <v>0</v>
      </c>
      <c r="AE21" s="7">
        <v>0</v>
      </c>
      <c r="AF21" s="7">
        <v>0</v>
      </c>
      <c r="AG21" s="3">
        <v>0</v>
      </c>
      <c r="AH21" s="7">
        <v>0</v>
      </c>
      <c r="AI21" s="7">
        <v>0</v>
      </c>
      <c r="AJ21" s="5">
        <v>2730.0</v>
      </c>
      <c r="AK21" s="5">
        <v>2730.0</v>
      </c>
      <c r="AL21" s="5">
        <v>3551.401</v>
      </c>
      <c r="AM21" s="5">
        <v>3551.401</v>
      </c>
      <c r="AN21" s="5">
        <v>821.401</v>
      </c>
      <c r="AO21" s="5">
        <v>821.401</v>
      </c>
      <c r="AP21" s="9">
        <v>0.23128928555238</v>
      </c>
      <c r="AQ21" s="4">
        <v>1.0</v>
      </c>
      <c r="AR21" s="7">
        <v>0</v>
      </c>
      <c r="AS21" s="7">
        <v>0</v>
      </c>
      <c r="AT21" s="7">
        <v>0</v>
      </c>
      <c r="AU21" s="3">
        <v>0</v>
      </c>
      <c r="AV21" s="7">
        <v>0</v>
      </c>
      <c r="AW21" s="7">
        <v>0</v>
      </c>
    </row>
    <row r="22" spans="1:49">
      <c r="A22" s="3">
        <v>20</v>
      </c>
      <c r="B22" s="3" t="s">
        <v>84</v>
      </c>
      <c r="C22" t="s">
        <v>85</v>
      </c>
      <c r="D22" s="3" t="s">
        <v>86</v>
      </c>
      <c r="E22" s="4">
        <v>50.0</v>
      </c>
      <c r="F22" s="5">
        <v>1605.0</v>
      </c>
      <c r="G22" s="7">
        <v>0</v>
      </c>
      <c r="H22" s="7">
        <v>0</v>
      </c>
      <c r="I22" s="7">
        <v>0</v>
      </c>
      <c r="J22" s="7">
        <v>0</v>
      </c>
      <c r="K22" s="4">
        <v>12.72726</v>
      </c>
      <c r="L22" s="5">
        <v>408.545046</v>
      </c>
      <c r="M22" s="6">
        <v>1.0</v>
      </c>
      <c r="N22" s="4">
        <v>10.0</v>
      </c>
      <c r="O22" s="4">
        <v>0.90909</v>
      </c>
      <c r="P22" s="7">
        <v>0</v>
      </c>
      <c r="Q22" s="7">
        <v>0</v>
      </c>
      <c r="R22" s="4">
        <v>8.0</v>
      </c>
      <c r="S22" s="5">
        <v>256.8</v>
      </c>
      <c r="T22" s="4">
        <v>1.5</v>
      </c>
      <c r="U22" s="14">
        <v>5.3333333333333</v>
      </c>
      <c r="V22" s="5">
        <v>375.18</v>
      </c>
      <c r="W22" s="5">
        <v>37.518</v>
      </c>
      <c r="X22" s="5">
        <v>542.057</v>
      </c>
      <c r="Y22" s="5">
        <v>54.2057</v>
      </c>
      <c r="Z22" s="5">
        <v>166.877</v>
      </c>
      <c r="AA22" s="5">
        <v>16.6877</v>
      </c>
      <c r="AB22" s="11">
        <v>0.30785876762038</v>
      </c>
      <c r="AC22" s="4">
        <v>10.0</v>
      </c>
      <c r="AD22" s="7">
        <v>0</v>
      </c>
      <c r="AE22" s="7">
        <v>0</v>
      </c>
      <c r="AF22" s="7">
        <v>0</v>
      </c>
      <c r="AG22" s="3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3">
        <v>0</v>
      </c>
      <c r="AQ22" s="7">
        <v>0</v>
      </c>
      <c r="AR22" s="7">
        <v>0</v>
      </c>
      <c r="AS22" s="7">
        <v>0</v>
      </c>
      <c r="AT22" s="7">
        <v>0</v>
      </c>
      <c r="AU22" s="3">
        <v>0</v>
      </c>
      <c r="AV22" s="7">
        <v>0</v>
      </c>
      <c r="AW22" s="7">
        <v>0</v>
      </c>
    </row>
    <row r="23" spans="1:49">
      <c r="A23" s="3">
        <v>21</v>
      </c>
      <c r="B23" s="3" t="s">
        <v>87</v>
      </c>
      <c r="C23" t="s">
        <v>88</v>
      </c>
      <c r="D23" s="3" t="s">
        <v>86</v>
      </c>
      <c r="E23" s="4">
        <v>20.0</v>
      </c>
      <c r="F23" s="5">
        <v>4745.46</v>
      </c>
      <c r="G23" s="7">
        <v>0</v>
      </c>
      <c r="H23" s="7">
        <v>0</v>
      </c>
      <c r="I23" s="7">
        <v>0</v>
      </c>
      <c r="J23" s="7">
        <v>0</v>
      </c>
      <c r="K23" s="4">
        <v>22.909082</v>
      </c>
      <c r="L23" s="5">
        <v>3436.3623</v>
      </c>
      <c r="M23" s="6">
        <v>1.0</v>
      </c>
      <c r="N23" s="4">
        <v>18.0</v>
      </c>
      <c r="O23" s="4">
        <v>1.636363</v>
      </c>
      <c r="P23" s="4">
        <v>1.0</v>
      </c>
      <c r="Q23" s="4">
        <v>1.0</v>
      </c>
      <c r="R23" s="7">
        <v>0</v>
      </c>
      <c r="S23" s="7">
        <v>0</v>
      </c>
      <c r="T23" s="4">
        <v>3.166666</v>
      </c>
      <c r="U23" s="8" t="s">
        <v>46</v>
      </c>
      <c r="V23" s="5">
        <v>4856.06</v>
      </c>
      <c r="W23" s="5">
        <v>269.78111111111</v>
      </c>
      <c r="X23" s="5">
        <v>4130.843</v>
      </c>
      <c r="Y23" s="5">
        <v>229.49127777778</v>
      </c>
      <c r="Z23" s="5">
        <v>-725.217</v>
      </c>
      <c r="AA23" s="5">
        <v>-40.289833333333</v>
      </c>
      <c r="AB23" s="12">
        <v>-0.17556150161117</v>
      </c>
      <c r="AC23" s="4">
        <v>18.0</v>
      </c>
      <c r="AD23" s="7">
        <v>0</v>
      </c>
      <c r="AE23" s="7">
        <v>0</v>
      </c>
      <c r="AF23" s="7">
        <v>0</v>
      </c>
      <c r="AG23" s="3">
        <v>0</v>
      </c>
      <c r="AH23" s="7">
        <v>0</v>
      </c>
      <c r="AI23" s="7">
        <v>0</v>
      </c>
      <c r="AJ23" s="5">
        <v>269.78</v>
      </c>
      <c r="AK23" s="5">
        <v>269.78</v>
      </c>
      <c r="AL23" s="5">
        <v>336.449</v>
      </c>
      <c r="AM23" s="5">
        <v>336.449</v>
      </c>
      <c r="AN23" s="5">
        <v>66.669</v>
      </c>
      <c r="AO23" s="5">
        <v>66.669</v>
      </c>
      <c r="AP23" s="9">
        <v>0.19815484664838</v>
      </c>
      <c r="AQ23" s="4">
        <v>1.0</v>
      </c>
      <c r="AR23" s="7">
        <v>0</v>
      </c>
      <c r="AS23" s="7">
        <v>0</v>
      </c>
      <c r="AT23" s="7">
        <v>0</v>
      </c>
      <c r="AU23" s="3">
        <v>0</v>
      </c>
      <c r="AV23" s="7">
        <v>0</v>
      </c>
      <c r="AW23" s="7">
        <v>0</v>
      </c>
    </row>
    <row r="24" spans="1:49">
      <c r="A24" s="3">
        <v>22</v>
      </c>
      <c r="B24" s="3" t="s">
        <v>89</v>
      </c>
      <c r="C24" t="s">
        <v>90</v>
      </c>
      <c r="D24" s="3" t="s">
        <v>45</v>
      </c>
      <c r="E24" s="4">
        <v>2.0</v>
      </c>
      <c r="F24" s="5">
        <v>11984.0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10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8" t="s">
        <v>46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3">
        <v>0</v>
      </c>
      <c r="AC24" s="7">
        <v>0</v>
      </c>
      <c r="AD24" s="7">
        <v>0</v>
      </c>
      <c r="AE24" s="7">
        <v>0</v>
      </c>
      <c r="AF24" s="7">
        <v>0</v>
      </c>
      <c r="AG24" s="3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3">
        <v>0</v>
      </c>
      <c r="AQ24" s="7">
        <v>0</v>
      </c>
      <c r="AR24" s="7">
        <v>0</v>
      </c>
      <c r="AS24" s="7">
        <v>0</v>
      </c>
      <c r="AT24" s="7">
        <v>0</v>
      </c>
      <c r="AU24" s="3">
        <v>0</v>
      </c>
      <c r="AV24" s="7">
        <v>0</v>
      </c>
      <c r="AW24" s="7">
        <v>0</v>
      </c>
    </row>
    <row r="25" spans="1:49">
      <c r="A25" s="3">
        <v>23</v>
      </c>
      <c r="B25" s="3" t="s">
        <v>91</v>
      </c>
      <c r="C25" t="s">
        <v>92</v>
      </c>
      <c r="D25" s="3" t="s">
        <v>45</v>
      </c>
      <c r="E25" s="4">
        <v>3.0</v>
      </c>
      <c r="F25" s="5">
        <v>12840.0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10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8" t="s">
        <v>46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3">
        <v>0</v>
      </c>
      <c r="AC25" s="7">
        <v>0</v>
      </c>
      <c r="AD25" s="7">
        <v>0</v>
      </c>
      <c r="AE25" s="7">
        <v>0</v>
      </c>
      <c r="AF25" s="7">
        <v>0</v>
      </c>
      <c r="AG25" s="3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3">
        <v>0</v>
      </c>
      <c r="AQ25" s="7">
        <v>0</v>
      </c>
      <c r="AR25" s="7">
        <v>0</v>
      </c>
      <c r="AS25" s="7">
        <v>0</v>
      </c>
      <c r="AT25" s="7">
        <v>0</v>
      </c>
      <c r="AU25" s="3">
        <v>0</v>
      </c>
      <c r="AV25" s="7">
        <v>0</v>
      </c>
      <c r="AW25" s="7">
        <v>0</v>
      </c>
    </row>
    <row r="26" spans="1:49">
      <c r="A26" s="3">
        <v>24</v>
      </c>
      <c r="B26" s="3" t="s">
        <v>93</v>
      </c>
      <c r="C26" t="s">
        <v>94</v>
      </c>
      <c r="D26" s="3" t="s">
        <v>45</v>
      </c>
      <c r="E26" s="4">
        <v>800.0</v>
      </c>
      <c r="F26" s="5">
        <v>33384.0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10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8" t="s">
        <v>46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3">
        <v>0</v>
      </c>
      <c r="AC26" s="7">
        <v>0</v>
      </c>
      <c r="AD26" s="7">
        <v>0</v>
      </c>
      <c r="AE26" s="7">
        <v>0</v>
      </c>
      <c r="AF26" s="7">
        <v>0</v>
      </c>
      <c r="AG26" s="3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3">
        <v>0</v>
      </c>
      <c r="AQ26" s="7">
        <v>0</v>
      </c>
      <c r="AR26" s="7">
        <v>0</v>
      </c>
      <c r="AS26" s="7">
        <v>0</v>
      </c>
      <c r="AT26" s="7">
        <v>0</v>
      </c>
      <c r="AU26" s="3">
        <v>0</v>
      </c>
      <c r="AV26" s="7">
        <v>0</v>
      </c>
      <c r="AW26" s="7">
        <v>0</v>
      </c>
    </row>
    <row r="27" spans="1:49">
      <c r="A27" s="3">
        <v>25</v>
      </c>
      <c r="B27" s="3" t="s">
        <v>95</v>
      </c>
      <c r="C27" t="s">
        <v>96</v>
      </c>
      <c r="D27" s="3" t="s">
        <v>45</v>
      </c>
      <c r="E27" s="4">
        <v>50.0</v>
      </c>
      <c r="F27" s="5">
        <v>2300.5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10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8" t="s">
        <v>46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3">
        <v>0</v>
      </c>
      <c r="AC27" s="7">
        <v>0</v>
      </c>
      <c r="AD27" s="7">
        <v>0</v>
      </c>
      <c r="AE27" s="7">
        <v>0</v>
      </c>
      <c r="AF27" s="7">
        <v>0</v>
      </c>
      <c r="AG27" s="3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3">
        <v>0</v>
      </c>
      <c r="AQ27" s="7">
        <v>0</v>
      </c>
      <c r="AR27" s="7">
        <v>0</v>
      </c>
      <c r="AS27" s="7">
        <v>0</v>
      </c>
      <c r="AT27" s="7">
        <v>0</v>
      </c>
      <c r="AU27" s="3">
        <v>0</v>
      </c>
      <c r="AV27" s="7">
        <v>0</v>
      </c>
      <c r="AW27" s="7">
        <v>0</v>
      </c>
    </row>
    <row r="28" spans="1:49">
      <c r="A28" s="3">
        <v>26</v>
      </c>
      <c r="B28" s="3" t="s">
        <v>97</v>
      </c>
      <c r="C28" t="s">
        <v>98</v>
      </c>
      <c r="D28" s="3" t="s">
        <v>45</v>
      </c>
      <c r="E28" s="4">
        <v>60.0</v>
      </c>
      <c r="F28" s="5">
        <v>2953.2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10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8" t="s">
        <v>46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3">
        <v>0</v>
      </c>
      <c r="AC28" s="7">
        <v>0</v>
      </c>
      <c r="AD28" s="7">
        <v>0</v>
      </c>
      <c r="AE28" s="7">
        <v>0</v>
      </c>
      <c r="AF28" s="7">
        <v>0</v>
      </c>
      <c r="AG28" s="3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3">
        <v>0</v>
      </c>
      <c r="AQ28" s="7">
        <v>0</v>
      </c>
      <c r="AR28" s="7">
        <v>0</v>
      </c>
      <c r="AS28" s="7">
        <v>0</v>
      </c>
      <c r="AT28" s="7">
        <v>0</v>
      </c>
      <c r="AU28" s="3">
        <v>0</v>
      </c>
      <c r="AV28" s="7">
        <v>0</v>
      </c>
      <c r="AW28" s="7">
        <v>0</v>
      </c>
    </row>
    <row r="29" spans="1:49">
      <c r="A29" s="1" t="s">
        <v>99</v>
      </c>
      <c r="B29" s="1"/>
      <c r="C29" s="1"/>
      <c r="D29" s="1"/>
      <c r="E29" s="1"/>
      <c r="F29" s="15">
        <f>SUM(F3:F29)</f>
        <v>382575.3</v>
      </c>
      <c r="G29" s="1"/>
      <c r="H29" s="15">
        <f>SUM(H3:H29)</f>
        <v>275163.34</v>
      </c>
      <c r="I29" s="1"/>
      <c r="J29" s="15">
        <f>SUM(J3:J29)</f>
        <v>29499.9</v>
      </c>
      <c r="K29" s="1"/>
      <c r="L29" s="15">
        <f>SUM(L3:L29)</f>
        <v>295923.532469</v>
      </c>
      <c r="M29" s="1"/>
      <c r="N29" s="1"/>
      <c r="O29" s="1"/>
      <c r="P29" s="1"/>
      <c r="Q29" s="1"/>
      <c r="R29" s="1"/>
      <c r="S29" s="15">
        <f>SUM(S3:S29)</f>
        <v>256.8</v>
      </c>
      <c r="T29" s="1"/>
      <c r="U29" s="1"/>
      <c r="V29" s="15">
        <f>SUM(V3:V29)</f>
        <v>230242.533</v>
      </c>
      <c r="W29" s="1"/>
      <c r="X29" s="15">
        <f>SUM(X3:X29)</f>
        <v>275405.327</v>
      </c>
      <c r="Y29" s="1"/>
      <c r="Z29" s="15">
        <f>SUM(Z3:Z29)</f>
        <v>45162.794</v>
      </c>
      <c r="AA29" s="1"/>
      <c r="AB29" s="1"/>
      <c r="AC29" s="1"/>
      <c r="AD29" s="1"/>
      <c r="AE29" s="1"/>
      <c r="AF29" s="15">
        <f>SUM(AF3:AF29)</f>
        <v>0</v>
      </c>
      <c r="AG29" s="1"/>
      <c r="AH29" s="1"/>
      <c r="AI29" s="15">
        <f>SUM(AI3:AI29)</f>
        <v>0</v>
      </c>
      <c r="AJ29" s="15">
        <f>SUM(AJ3:V29)</f>
        <v>1174091.5818143</v>
      </c>
      <c r="AK29" s="1"/>
      <c r="AL29" s="15">
        <f>SUM(AL3:AL29)</f>
        <v>29971.317</v>
      </c>
      <c r="AM29" s="1"/>
      <c r="AN29" s="15">
        <f>SUM(AN3:AN29)</f>
        <v>5441.545</v>
      </c>
      <c r="AO29" s="1"/>
      <c r="AP29" s="1"/>
      <c r="AQ29" s="1"/>
      <c r="AR29" s="1"/>
      <c r="AS29" s="1"/>
      <c r="AT29" s="15">
        <f>SUM(AT3:AT29)</f>
        <v>0</v>
      </c>
      <c r="AU29" s="1"/>
      <c r="AV29" s="1"/>
      <c r="AW29" s="15">
        <f>SUM(AW3:AW29)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9:D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</v>
      </c>
      <c r="G1" s="1" t="s">
        <v>2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2024-02-13T16:00:31+07:00</dcterms:created>
  <dcterms:modified xsi:type="dcterms:W3CDTF">2024-02-13T16:00:31+07:00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