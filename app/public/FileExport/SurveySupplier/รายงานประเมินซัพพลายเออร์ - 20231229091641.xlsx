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<sst xmlns="http://schemas.openxmlformats.org/spreadsheetml/2006/main" uniqueCount="393">
  <si>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</si>
  <si>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</si>
  <si>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</si>
  <si>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</si>
  <si>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</si>
  <si>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</si>
  <si>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</si>
  <si>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</si>
  <si>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</si>
  <si>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</si>
  <si>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</si>
  <si>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</si>
  <si>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</si>
  <si>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</si>
  <si>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</si>
  <si>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</si>
  <si>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</si>
  <si>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</si>
  <si>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</si>
  <si>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</si>
  <si>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</si>
  <si>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</si>
  <si>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</si>
  <si>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</si>
  <si>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</si>
  <si>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</si>
  <si>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</si>
  <si>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</si>
  <si>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</si>
  <si>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</si>
  <si>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</si>
  <si>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</si>
  <si>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</si>
  <si>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</si>
  <si>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</si>
  <si>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</si>
  <si>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</si>
  <si>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</si>
  <si>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</si>
  <si>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</si>
  <si>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</si>
  <si>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</si>
  <si>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</si>
  <si>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07-450-109</t>
  </si>
  <si>
    <t>แบตเตอรี่ตัดหญ้าไร้สาย 21V. EUROX</t>
  </si>
  <si>
    <t>W</t>
  </si>
  <si>
    <t>98-850-001</t>
  </si>
  <si>
    <t>ชุดใบขัด 3 ชิ้น</t>
  </si>
  <si>
    <t>M</t>
  </si>
  <si>
    <t>DEAD</t>
  </si>
  <si>
    <t>34-101-020</t>
  </si>
  <si>
    <t>ใบมีดตัดหญ้าพลาสติก 5.5" (5pcs./แพ็ค)</t>
  </si>
  <si>
    <t>A</t>
  </si>
  <si>
    <t>92-667-314</t>
  </si>
  <si>
    <t>ขาตั้งเลเซอร์วัดระดับ EUROX SGL-5 II  (รุ่นแสงสีเขียว)</t>
  </si>
  <si>
    <t>88-511-111</t>
  </si>
  <si>
    <t>สวิตช์ MT-651,603/(T)</t>
  </si>
  <si>
    <t>34-904-001</t>
  </si>
  <si>
    <t>ใบมีดสับกล้วยขนาดเล็ก EUROX</t>
  </si>
  <si>
    <t>34-101-110</t>
  </si>
  <si>
    <t>ใบมีดตัดหญ้า 8" (1.6 มม.) ทรงมะละกอ</t>
  </si>
  <si>
    <t>07-450-108</t>
  </si>
  <si>
    <t>แบตเตอรี่ตัดหญ้าไร้สาย 12V. EUROX</t>
  </si>
  <si>
    <t>D21</t>
  </si>
  <si>
    <t>34-101-050</t>
  </si>
  <si>
    <t>ใบมีดตัดหญ้า 6" (1.6 มม.)</t>
  </si>
  <si>
    <t>D22</t>
  </si>
  <si>
    <t>34-900-006</t>
  </si>
  <si>
    <t>มอเตอร์ เครื่องตัดหญ้าไร้สาย 21V</t>
  </si>
  <si>
    <t>99-998-151</t>
  </si>
  <si>
    <t>แบตเตอรี่ลิเธียมเลเซอร์วัดระดับ 3.7 V (EL-510II,GL-5II)</t>
  </si>
  <si>
    <t>34-904-500</t>
  </si>
  <si>
    <t>ใบมีดสับมัน 3ใบ/ชุด</t>
  </si>
  <si>
    <t>34-101-040</t>
  </si>
  <si>
    <t>ใบตัดหญ้าวงเดือน 4"</t>
  </si>
  <si>
    <t>34-101-051</t>
  </si>
  <si>
    <t>ใบตัดหญ้าวงเดือน 6" (ตัดหญ้าแบต 21V.)</t>
  </si>
  <si>
    <t>88-511-165</t>
  </si>
  <si>
    <t>สวิตซ์ แท่นตัด 14" จีน มีล็อก/(T) (A5)</t>
  </si>
  <si>
    <t>92-667-411</t>
  </si>
  <si>
    <t>สายชาร์จเลเซอร์ (EL-510 II , GL-5 II)</t>
  </si>
  <si>
    <t>88-511-210</t>
  </si>
  <si>
    <t>สวิตช์ MT817</t>
  </si>
  <si>
    <t>ZZ-000-363</t>
  </si>
  <si>
    <t>แบตเตอรี่ลิเธียมเลเซอร์วัดระดับ</t>
  </si>
  <si>
    <t>07-450-115</t>
  </si>
  <si>
    <t>แท่นชาร์จแบตเตอรี่ตัดหญ้าไร้สาย 21V. EUROX</t>
  </si>
  <si>
    <t>88-511-215</t>
  </si>
  <si>
    <t>สวิตช์ MT902</t>
  </si>
  <si>
    <t>34-550-001</t>
  </si>
  <si>
    <t>เครื่องดูดฝุ่นไร้สาย 21V 150W (20L)</t>
  </si>
  <si>
    <t>34-101-030</t>
  </si>
  <si>
    <t>ใบมีดตัดหญ้าพลาสติก 8"</t>
  </si>
  <si>
    <t>99-998-150</t>
  </si>
  <si>
    <t>แบตเตอรี่ลิเธียมเลเซอร์วัดระดับ 3.7 V</t>
  </si>
  <si>
    <t>40-950-003</t>
  </si>
  <si>
    <t>สายพาน เครื่องผสมปูน EUROX JY-CM200</t>
  </si>
  <si>
    <t>88-511-160</t>
  </si>
  <si>
    <t>สวิตซ์ 2-26 B/(T) (A7)</t>
  </si>
  <si>
    <t>88-511-180</t>
  </si>
  <si>
    <t>สวิตซ์ MT580</t>
  </si>
  <si>
    <t>88-511-145</t>
  </si>
  <si>
    <t>สวิตซ์ 1600 M/(T) (A8)</t>
  </si>
  <si>
    <t>07-450-150</t>
  </si>
  <si>
    <t>แบตเตอรี่สว่านไร้สาย 21V PITA</t>
  </si>
  <si>
    <t>34-900-005</t>
  </si>
  <si>
    <t>มอเตอร์ เครื่องตัดหญ้าไร้สาย 12V</t>
  </si>
  <si>
    <t>88-511-205</t>
  </si>
  <si>
    <t>สวิตช์ MT814,1630</t>
  </si>
  <si>
    <t>34-907-004</t>
  </si>
  <si>
    <t>อะไหล่สว่านกระแทกไร้สาย 21V. EU 1B แท่นชาร์จแบตเตอรี่</t>
  </si>
  <si>
    <t>09-092-602</t>
  </si>
  <si>
    <t>ขาตั้งเลเซอร์วัดระดับ EUROX PL-V5</t>
  </si>
  <si>
    <t>34-103-003</t>
  </si>
  <si>
    <t>มอเตอร์เครื่องสับต้นกล้วยขนาดเล็ก EUROX</t>
  </si>
  <si>
    <t>92-667-321</t>
  </si>
  <si>
    <t>ขาตั้งเลเซอร์วัดระดับ EUROX GT-51</t>
  </si>
  <si>
    <t>34-900-002</t>
  </si>
  <si>
    <t>ฝาครอบมอเตอร์ เครื่องตัดหญ้าไร้สาย (12V,21V)</t>
  </si>
  <si>
    <t>07-450-151</t>
  </si>
  <si>
    <t>แท่นชาร์จสว่านกระแทกไร้สาย 21V PITA</t>
  </si>
  <si>
    <t>40-950-006</t>
  </si>
  <si>
    <t>ประเก็นรองถังโม่ปูน เครื่องผสมปูน EUROX JY-CM200</t>
  </si>
  <si>
    <t>88-511-220</t>
  </si>
  <si>
    <t>สวิตช์ C-7 เลื่อย 7"</t>
  </si>
  <si>
    <t>88-511-190</t>
  </si>
  <si>
    <t>สวิตซ์ GBH2SE</t>
  </si>
  <si>
    <t>40-950-005</t>
  </si>
  <si>
    <t>สวิทซ์เปิด-ปิด เครื่องผสมปูน EUROX JY-CM200</t>
  </si>
  <si>
    <t>88-511-135</t>
  </si>
  <si>
    <t>สวิตซ์ 6501</t>
  </si>
  <si>
    <t>99-998-153</t>
  </si>
  <si>
    <t>แบตเตอรี่เลเซอร์วัดระดับ GL-503</t>
  </si>
  <si>
    <t>34-900-001</t>
  </si>
  <si>
    <t>บังใบ เครื่องตัดหญ้าไร้สาย (12V,21V)</t>
  </si>
  <si>
    <t>88-511-115</t>
  </si>
  <si>
    <t>สวิตช์ 2414B M/(T)</t>
  </si>
  <si>
    <t>40-950-002</t>
  </si>
  <si>
    <t>คาปาซิเตอร์ เครื่องผสมปูน EUROX JY-CM200</t>
  </si>
  <si>
    <t>33-903-503</t>
  </si>
  <si>
    <t>แปรงถ่าน (เครื่องฉีดน้ำไร้สาย EUROX 21V 1B)</t>
  </si>
  <si>
    <t>92-667-414</t>
  </si>
  <si>
    <t>สายชาร์จเลเซอร์ GL-503</t>
  </si>
  <si>
    <t>34-904-003</t>
  </si>
  <si>
    <t>ตัวล็อคฝาปิดเครื่องสับกล้วย</t>
  </si>
  <si>
    <t>03-014-111</t>
  </si>
  <si>
    <t>แกนต่อหัวเตเปอร์</t>
  </si>
  <si>
    <t>06-504-018</t>
  </si>
  <si>
    <t>คาปาซิเตอร์รัน</t>
  </si>
  <si>
    <t>06-504-019</t>
  </si>
  <si>
    <t>คาปาซิเตอร์สตาร์ท</t>
  </si>
  <si>
    <t>06-504-241</t>
  </si>
  <si>
    <t>ทองขาวมอเตอร์เครื่องสีข้าว MARK III</t>
  </si>
  <si>
    <t>07-452-004</t>
  </si>
  <si>
    <t>ชุดเกียร์ทอร์ดสว่านไร้สาย 12V PITA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</si>
  <si>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</si>
  <si>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</si>
  <si>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</si>
  <si>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</si>
  <si>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</si>
  <si>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</si>
  <si>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</si>
  <si>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</si>
  <si>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</si>
  <si>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</si>
  <si>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34-101-052</t>
  </si>
  <si>
    <t>ใบตัดหญ้าวงเดือน 8" (ตัดหญ้าแบต 21V.)</t>
  </si>
  <si>
    <t>34-101-115</t>
  </si>
  <si>
    <t>ใบมีดตัดหญ้า 8" BL (แกนใหญ่)</t>
  </si>
  <si>
    <t>34-103-004</t>
  </si>
  <si>
    <t>คอนเดนเซอร์สับต้นกล้วย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</si>
  <si>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</si>
  <si>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</si>
  <si>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</si>
  <si>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</si>
  <si>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</si>
  <si>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</si>
  <si>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</si>
  <si>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</si>
  <si>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</si>
  <si>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</si>
  <si>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</si>
  <si>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</si>
  <si>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</si>
  <si>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</si>
  <si>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</si>
  <si>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</si>
  <si>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</si>
  <si>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</si>
  <si>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</si>
  <si>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</si>
  <si>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</si>
  <si>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</si>
  <si>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</si>
  <si>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</si>
  <si>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</si>
  <si>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</si>
  <si>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</si>
  <si>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</si>
  <si>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</si>
  <si>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</si>
  <si>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34-904-501</t>
  </si>
  <si>
    <t>ฝาครอบใบมีดเครื่องสับมัน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</si>
  <si>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</si>
  <si>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</si>
  <si>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</si>
  <si>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</si>
  <si>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</si>
  <si>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</si>
  <si>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</si>
  <si>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</si>
  <si>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</si>
  <si>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</si>
  <si>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</si>
  <si>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</si>
  <si>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</si>
  <si>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</si>
  <si>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</si>
  <si>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</si>
  <si>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</si>
  <si>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</si>
  <si>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88-511-130</t>
  </si>
  <si>
    <t>สวิตซ์ 9500N</t>
  </si>
  <si>
    <t>88-511-175</t>
  </si>
  <si>
    <t>สวิตซ์ HM 0810 (A9)</t>
  </si>
  <si>
    <t>88-511-185</t>
  </si>
  <si>
    <t>สวิตซ์ GWS6-100</t>
  </si>
  <si>
    <t>88-511-195</t>
  </si>
  <si>
    <t>สวิตซ์ PH65A (A21)</t>
  </si>
  <si>
    <t>88-511-200</t>
  </si>
  <si>
    <t>สวิตช์ MT240,241</t>
  </si>
  <si>
    <t>92-667-412</t>
  </si>
  <si>
    <t>สายชาร์จเลเซอร์ GZ-5</t>
  </si>
  <si>
    <t>92-667-415</t>
  </si>
  <si>
    <t>สายชาร์จเลเซอร์ PL-V5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</si>
  <si>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</si>
  <si>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</si>
  <si>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</si>
  <si>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</si>
  <si>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ZZ-000-239</t>
  </si>
  <si>
    <t>สายพานเครื่องผสมคอนกรีต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</si>
  <si>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</si>
  <si>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</si>
  <si>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</si>
  <si>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</si>
  <si>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</si>
  <si>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</si>
  <si>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</si>
  <si>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</si>
  <si>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</si>
  <si>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</si>
  <si>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ฝ่ายขายออนไลน์</t>
  </si>
  <si>
    <t>PN65054015</t>
  </si>
  <si>
    <t>W-05184 - พัฒนศักดิ์ รักสลาท</t>
  </si>
  <si>
    <t>WP4</t>
  </si>
  <si>
    <t>ตัว</t>
  </si>
  <si>
    <t>สินค้าชำรุดสภาพดี AX</t>
  </si>
  <si>
    <t>แบตเสื่อม ชาร์จไม่เข้า</t>
  </si>
  <si>
    <t>ฝ่ายขายร้านค้า ตจว.</t>
  </si>
  <si>
    <t>PE-65101012</t>
  </si>
  <si>
    <t>C-10082 - มนตรีแมชชินทูลส์ จำกัด(สำนักงานใหญ่)</t>
  </si>
  <si>
    <t>ชำรุดจากโรงงาน</t>
  </si>
  <si>
    <t>ชาร์จแบตไม่เข้า แบตเสื่อม</t>
  </si>
  <si>
    <t>PE-65111025</t>
  </si>
  <si>
    <t>แบตเสีย วงจรไหม้</t>
  </si>
  <si>
    <t>PE-65121007</t>
  </si>
  <si>
    <t>แบตเสื่อมสภาพ</t>
  </si>
  <si>
    <t>ฝ่ายขายร้านค้า กทม.</t>
  </si>
  <si>
    <t>PE-66041003</t>
  </si>
  <si>
    <t>C-11198 - จ.เจริญรุ่งเรือง ทูลส์ แอนด์ เทรดดิ้ง(ห้ามขาย)</t>
  </si>
  <si>
    <t>PE-65011018</t>
  </si>
  <si>
    <t>C-07341 - แอ็กกี้โฮม</t>
  </si>
  <si>
    <t>อัน</t>
  </si>
  <si>
    <t>PN-65064123</t>
  </si>
  <si>
    <t>C-02694 - LAZADA</t>
  </si>
  <si>
    <t>สินค้ายืมออกตลาด</t>
  </si>
  <si>
    <t>PN-65064122</t>
  </si>
  <si>
    <t>W-04314 - Tool39</t>
  </si>
  <si>
    <t>PN-65074071</t>
  </si>
  <si>
    <t>W-05714 - ณัฐสิทธิ์ สว่างเอี่ยม</t>
  </si>
  <si>
    <t>ฝ่ายขายโมเดิร์นเทรด 1</t>
  </si>
  <si>
    <t>PN-65094009</t>
  </si>
  <si>
    <t>M-00219 - ดูโฮม - เชียงใหม่ (สาขาที่8)</t>
  </si>
  <si>
    <t>Body แตก</t>
  </si>
  <si>
    <t>PN-65094016</t>
  </si>
  <si>
    <t>M-00108 - นพดลพานิช -สำนักงานใหญ่</t>
  </si>
  <si>
    <t>แบตเสื่อมสภาพ ชาร์จแล้วขึ้นสถานะเต็มตลอด</t>
  </si>
  <si>
    <t>PE-65121011</t>
  </si>
  <si>
    <t>C-00894 - ไฟว์สตาร์แมชชีนทูล (มือปืน)</t>
  </si>
  <si>
    <t>แบตเสื่อม</t>
  </si>
  <si>
    <t>PN-66014020</t>
  </si>
  <si>
    <t>M-00363 - ดูโฮม - มาบตาพุด</t>
  </si>
  <si>
    <t>แบตเสื่อมชาร์จไม่เข้า</t>
  </si>
  <si>
    <t>PE-66031043</t>
  </si>
  <si>
    <t>M-00382 - ตั้งเชียงล้ง</t>
  </si>
  <si>
    <t>PN-66054026</t>
  </si>
  <si>
    <t>W-05593 - ณัฐวุฒิ ปทุมวัน</t>
  </si>
  <si>
    <t>แบตเเสื่อมสภาพ</t>
  </si>
  <si>
    <t>RN-66062062</t>
  </si>
  <si>
    <t>PN-66064036</t>
  </si>
  <si>
    <t>PE-66121007</t>
  </si>
  <si>
    <t>C-02786 - คลองถม 4 กาญจนบุรี</t>
  </si>
  <si>
    <t>แบตเสื่อมสภาพ ชาร์จไฟไม่เข้า</t>
  </si>
  <si>
    <t>ฝ่ายขายหน้าร้าน</t>
  </si>
  <si>
    <t>PN-65014106</t>
  </si>
  <si>
    <t>A-00041 - อรพรรณ วารีรัตน์</t>
  </si>
  <si>
    <t>ยืมเพื่อเปลี่ยนให้ลูกค้า</t>
  </si>
  <si>
    <t>เสียไฟไม่ขึ้นและบอร์ดเสีย</t>
  </si>
  <si>
    <t>PN-65024095</t>
  </si>
  <si>
    <t>ไฟ LED ไม่ขึ้น (เสีย)</t>
  </si>
  <si>
    <t>เสียชาร์จไม่เข้า</t>
  </si>
  <si>
    <t>PN-66044001</t>
  </si>
  <si>
    <t>A-00270 - สมยศ สุขสาคร (กบ)</t>
  </si>
  <si>
    <t>ช็อต เสียเปิดไม่ติด</t>
  </si>
  <si>
    <t>PE-66081023</t>
  </si>
  <si>
    <t>M-00264 - วิรัชวัสดุก่อสร้าง(SM TT PC)</t>
  </si>
  <si>
    <t>แท่นชาร์จเสีย</t>
  </si>
  <si>
    <t>PE-65031004</t>
  </si>
  <si>
    <t>C-00456 - มิลค์ คัลเลอร์ สโตร์</t>
  </si>
  <si>
    <t>PE-65031032</t>
  </si>
  <si>
    <t>C-00249 - ทวีชัยฮาร์ดแวร์ (มือปืน)</t>
  </si>
  <si>
    <t>สินค้าในประเทศ แบตเสื่อม</t>
  </si>
  <si>
    <t>PE-65081013</t>
  </si>
  <si>
    <t>C-10894 - ที.เอ.เฮ้าส์(SM NO PC)</t>
  </si>
  <si>
    <t>PE-65101001</t>
  </si>
  <si>
    <t>C-00851 - นัสเจริญภัณฑ์</t>
  </si>
  <si>
    <t>PE-65111011</t>
  </si>
  <si>
    <t>C-02428 - รุ่งเจริญฮาร์ดแวร์</t>
  </si>
  <si>
    <t>PE-65121009</t>
  </si>
  <si>
    <t>PN-66034033</t>
  </si>
  <si>
    <t>C-10710 - บ้านสีลม ซัพพลาย</t>
  </si>
  <si>
    <t>สินค้าทำเคลมมาทั้งชุดแต่ตรวจตรวจพบว่าแท่นชาร์จเสีย</t>
  </si>
  <si>
    <t>PE-65111031</t>
  </si>
  <si>
    <t>C-02677 - วิชิตเครื่องมือเกษตร</t>
  </si>
  <si>
    <t>PE-66031002</t>
  </si>
  <si>
    <t>C-12309 - พี.โอ.วัสดุก่อสร้าง 1997(SM PC)</t>
  </si>
  <si>
    <t>เสีย ชาร์จไม่เข้า</t>
  </si>
  <si>
    <t>PE-66051010</t>
  </si>
  <si>
    <t>C-00966 - เสรีภัณฑ์ เพาเวอร์ทูลส์</t>
  </si>
  <si>
    <t>บอร์ดวงจรเสีย</t>
  </si>
  <si>
    <t>PE-66051012</t>
  </si>
  <si>
    <t>C-07669 - ปอแซ สตีล</t>
  </si>
  <si>
    <t>บอร์ดจอเสีย</t>
  </si>
  <si>
    <t>PE-66051044</t>
  </si>
  <si>
    <t>C-10862 - ห้างบริบูรณ์พาณิชย์</t>
  </si>
  <si>
    <t>PE-65091005</t>
  </si>
  <si>
    <t>ใบ</t>
  </si>
  <si>
    <t>ขึ้นสนิม</t>
  </si>
  <si>
    <t>RN-65062041</t>
  </si>
  <si>
    <t>W-04314 - Shopee (TOOL39,EUROX)</t>
  </si>
  <si>
    <t>ลูกค้าสั่งผิด</t>
  </si>
  <si>
    <t>เล็บหลุด</t>
  </si>
  <si>
    <t>PE-65031014</t>
  </si>
  <si>
    <t>C-00751 - อำนวยพร 2</t>
  </si>
  <si>
    <t>ชำรุดจากการใช้งาน</t>
  </si>
  <si>
    <t>เสียใช้งานไม่ได้</t>
  </si>
  <si>
    <t>RN-66092049</t>
  </si>
  <si>
    <t>C-12061 - น.สหะกิจ</t>
  </si>
  <si>
    <t>เสีย</t>
  </si>
  <si>
    <t>PE-65121020</t>
  </si>
  <si>
    <t>C-11054 - นครเอก เซอร์วิส ทูลส์</t>
  </si>
  <si>
    <t>ชุด</t>
  </si>
  <si>
    <t>ตัวปรับขึ้นลงหัก</t>
  </si>
  <si>
    <t>PN-65104016</t>
  </si>
  <si>
    <t>RN-65112006</t>
  </si>
  <si>
    <t>C-11008 - โฟกัสเครื่องมือช่าง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</si>
  <si>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</si>
  <si>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</si>
  <si>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</si>
  <si>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</si>
  <si>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PN-65024036</t>
  </si>
  <si>
    <t>เสีย ไฟ LED ไม่ขึ้น</t>
  </si>
  <si>
    <t>RN-65022092</t>
  </si>
  <si>
    <t>สายชาร์จผิดสเปค เสียบชาร์จไม่ได้</t>
  </si>
  <si>
    <t>PN-65044081</t>
  </si>
  <si>
    <t>ชั้วชาร์จผิดสเปค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</si>
  <si>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</si>
  <si>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</si>
  <si>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</si>
  <si>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</si>
  <si>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</si>
  <si>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</si>
  <si>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</si>
  <si>
    <t>PN-65014011</t>
  </si>
  <si>
    <t>ชาร์จไฟไม่เข้า (เสีย)</t>
  </si>
  <si>
    <t>PE-65021019</t>
  </si>
  <si>
    <t>C-10983 - ธานีการค้า</t>
  </si>
  <si>
    <t>ชาร์จไม่เข้า แบตเสื่อมสภาพ</t>
  </si>
  <si>
    <t>PE-65051011</t>
  </si>
  <si>
    <t>แบตเตอรี่เสื่อมสภาพ ชาร์จไม่เข้าจริง</t>
  </si>
  <si>
    <t>PN-65094018</t>
  </si>
  <si>
    <t>M-00154 - ศิริมหาชัย อุบลราชธานี</t>
  </si>
  <si>
    <t>แบตเสีย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</si>
</sst>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99" sqref="AW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550.0</v>
      </c>
      <c r="F3" s="5">
        <v>192500.0</v>
      </c>
      <c r="G3" s="4">
        <v>580.0</v>
      </c>
      <c r="H3" s="5">
        <v>201790.0</v>
      </c>
      <c r="I3" s="4">
        <v>430.0</v>
      </c>
      <c r="J3" s="5">
        <v>150500.0</v>
      </c>
      <c r="K3" s="4">
        <v>689.818178</v>
      </c>
      <c r="L3" s="5">
        <v>241436.3623</v>
      </c>
      <c r="M3" s="6">
        <v>0.37664733445166</v>
      </c>
      <c r="N3" s="4">
        <v>524.0</v>
      </c>
      <c r="O3" s="4">
        <v>47.181818</v>
      </c>
      <c r="P3" s="4">
        <v>556.0</v>
      </c>
      <c r="Q3" s="4">
        <v>49.272727</v>
      </c>
      <c r="R3" s="4">
        <v>64.0</v>
      </c>
      <c r="S3" s="5">
        <v>22400.0</v>
      </c>
      <c r="T3" s="4">
        <v>46.333333</v>
      </c>
      <c r="U3" s="7">
        <v>1.3812949739662</v>
      </c>
      <c r="V3" s="5">
        <v>182311.0</v>
      </c>
      <c r="W3" s="5">
        <v>347.92175572519</v>
      </c>
      <c r="X3" s="5">
        <v>270291.985</v>
      </c>
      <c r="Y3" s="5">
        <v>515.82439885496</v>
      </c>
      <c r="Z3" s="5">
        <v>87980.985</v>
      </c>
      <c r="AA3" s="5">
        <v>167.90264312977</v>
      </c>
      <c r="AB3" s="8">
        <v>0.32550349208468</v>
      </c>
      <c r="AC3" s="4">
        <v>524.0</v>
      </c>
      <c r="AD3" s="4">
        <v>8.0</v>
      </c>
      <c r="AE3" s="4">
        <v>1.0</v>
      </c>
      <c r="AF3" s="9">
        <v>0</v>
      </c>
      <c r="AG3" s="10">
        <v>0.0019083969465649</v>
      </c>
      <c r="AH3" s="9">
        <v>0</v>
      </c>
      <c r="AI3" s="9">
        <v>0</v>
      </c>
      <c r="AJ3" s="5">
        <v>194182.513</v>
      </c>
      <c r="AK3" s="5">
        <v>349.24912410072</v>
      </c>
      <c r="AL3" s="5">
        <v>294385.765</v>
      </c>
      <c r="AM3" s="5">
        <v>529.47080035971</v>
      </c>
      <c r="AN3" s="5">
        <v>100203.252</v>
      </c>
      <c r="AO3" s="5">
        <v>180.22167625899</v>
      </c>
      <c r="AP3" s="8">
        <v>0.34038076535392</v>
      </c>
      <c r="AQ3" s="4">
        <v>556.0</v>
      </c>
      <c r="AR3" s="4">
        <v>10.0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9">
        <v>0</v>
      </c>
      <c r="F4" s="9">
        <v>0</v>
      </c>
      <c r="G4" s="4">
        <v>3000.0</v>
      </c>
      <c r="H4" s="5">
        <v>73200.0</v>
      </c>
      <c r="I4" s="9">
        <v>0</v>
      </c>
      <c r="J4" s="9">
        <v>0</v>
      </c>
      <c r="K4" s="9">
        <v>0</v>
      </c>
      <c r="L4" s="9">
        <v>0</v>
      </c>
      <c r="M4" s="11">
        <v>0</v>
      </c>
      <c r="N4" s="9">
        <v>0</v>
      </c>
      <c r="O4" s="9">
        <v>0</v>
      </c>
      <c r="P4" s="9">
        <v>0</v>
      </c>
      <c r="Q4" s="9">
        <v>0</v>
      </c>
      <c r="R4" s="4">
        <v>1793.0</v>
      </c>
      <c r="S4" s="5">
        <v>43749.2</v>
      </c>
      <c r="T4" s="9">
        <v>0</v>
      </c>
      <c r="U4" s="12" t="s">
        <v>49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3">
        <v>0</v>
      </c>
      <c r="AC4" s="9">
        <v>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50</v>
      </c>
      <c r="C5" t="s">
        <v>51</v>
      </c>
      <c r="D5" s="3" t="s">
        <v>52</v>
      </c>
      <c r="E5" s="4">
        <v>1700.0</v>
      </c>
      <c r="F5" s="5">
        <v>102000.0</v>
      </c>
      <c r="G5" s="4">
        <v>680.0</v>
      </c>
      <c r="H5" s="5">
        <v>40800.0</v>
      </c>
      <c r="I5" s="4">
        <v>1050.0</v>
      </c>
      <c r="J5" s="5">
        <v>63000.0</v>
      </c>
      <c r="K5" s="4">
        <v>188.36363</v>
      </c>
      <c r="L5" s="5">
        <v>11301.8178</v>
      </c>
      <c r="M5" s="13">
        <v>-4.5743245126461</v>
      </c>
      <c r="N5" s="4">
        <v>319.0</v>
      </c>
      <c r="O5" s="4">
        <v>28.545454</v>
      </c>
      <c r="P5" s="4">
        <v>146.0</v>
      </c>
      <c r="Q5" s="4">
        <v>13.454545</v>
      </c>
      <c r="R5" s="4">
        <v>176.0</v>
      </c>
      <c r="S5" s="5">
        <v>10560.0</v>
      </c>
      <c r="T5" s="4">
        <v>12.166666</v>
      </c>
      <c r="U5" s="14">
        <v>14.465754217302</v>
      </c>
      <c r="V5" s="5">
        <v>19140.0</v>
      </c>
      <c r="W5" s="5">
        <v>60.0</v>
      </c>
      <c r="X5" s="5">
        <v>29514.029</v>
      </c>
      <c r="Y5" s="5">
        <v>92.520467084639</v>
      </c>
      <c r="Z5" s="5">
        <v>10374.029</v>
      </c>
      <c r="AA5" s="5">
        <v>32.520467084639</v>
      </c>
      <c r="AB5" s="8">
        <v>0.3514948433506</v>
      </c>
      <c r="AC5" s="4">
        <v>319.0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8760.0</v>
      </c>
      <c r="AK5" s="5">
        <v>60.0</v>
      </c>
      <c r="AL5" s="5">
        <v>13728.909</v>
      </c>
      <c r="AM5" s="5">
        <v>94.033623287671</v>
      </c>
      <c r="AN5" s="5">
        <v>4968.909</v>
      </c>
      <c r="AO5" s="5">
        <v>34.033623287671</v>
      </c>
      <c r="AP5" s="8">
        <v>0.36193036169152</v>
      </c>
      <c r="AQ5" s="4">
        <v>146.0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53</v>
      </c>
      <c r="C6" t="s">
        <v>54</v>
      </c>
      <c r="D6" s="3" t="s">
        <v>48</v>
      </c>
      <c r="E6" s="9">
        <v>0</v>
      </c>
      <c r="F6" s="9">
        <v>0</v>
      </c>
      <c r="G6" s="4">
        <v>148.0</v>
      </c>
      <c r="H6" s="5">
        <v>28120.0</v>
      </c>
      <c r="I6" s="4">
        <v>50.0</v>
      </c>
      <c r="J6" s="5">
        <v>9500.0</v>
      </c>
      <c r="K6" s="4">
        <v>49.636356</v>
      </c>
      <c r="L6" s="5">
        <v>9430.90764</v>
      </c>
      <c r="M6" s="13">
        <v>-0.0073261622992631</v>
      </c>
      <c r="N6" s="4">
        <v>147.0</v>
      </c>
      <c r="O6" s="4">
        <v>13.363636</v>
      </c>
      <c r="P6" s="4">
        <v>39.0</v>
      </c>
      <c r="Q6" s="4">
        <v>3.545454</v>
      </c>
      <c r="R6" s="4">
        <v>26.0</v>
      </c>
      <c r="S6" s="5">
        <v>4940.0</v>
      </c>
      <c r="T6" s="4">
        <v>3.25</v>
      </c>
      <c r="U6" s="14">
        <v>8.0</v>
      </c>
      <c r="V6" s="5">
        <v>27930.0</v>
      </c>
      <c r="W6" s="5">
        <v>190.0</v>
      </c>
      <c r="X6" s="5">
        <v>58498.542</v>
      </c>
      <c r="Y6" s="5">
        <v>397.94926530612</v>
      </c>
      <c r="Z6" s="5">
        <v>30568.542</v>
      </c>
      <c r="AA6" s="5">
        <v>207.94926530612</v>
      </c>
      <c r="AB6" s="8">
        <v>0.52255220309593</v>
      </c>
      <c r="AC6" s="4">
        <v>147.0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7410.0</v>
      </c>
      <c r="AK6" s="5">
        <v>190.0</v>
      </c>
      <c r="AL6" s="5">
        <v>15704.754</v>
      </c>
      <c r="AM6" s="5">
        <v>402.686</v>
      </c>
      <c r="AN6" s="5">
        <v>8294.754</v>
      </c>
      <c r="AO6" s="5">
        <v>212.686</v>
      </c>
      <c r="AP6" s="8">
        <v>0.52816834953289</v>
      </c>
      <c r="AQ6" s="4">
        <v>39.0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55</v>
      </c>
      <c r="C7" t="s">
        <v>56</v>
      </c>
      <c r="D7" s="3" t="s">
        <v>52</v>
      </c>
      <c r="E7" s="4">
        <v>380.0</v>
      </c>
      <c r="F7" s="5">
        <v>22420.0</v>
      </c>
      <c r="G7" s="4">
        <v>470.0</v>
      </c>
      <c r="H7" s="5">
        <v>27730.0</v>
      </c>
      <c r="I7" s="4">
        <v>170.0</v>
      </c>
      <c r="J7" s="5">
        <v>10030.0</v>
      </c>
      <c r="K7" s="4">
        <v>352.545452</v>
      </c>
      <c r="L7" s="5">
        <v>20800.181668</v>
      </c>
      <c r="M7" s="6">
        <v>0.5177926731558</v>
      </c>
      <c r="N7" s="4">
        <v>391.0</v>
      </c>
      <c r="O7" s="4">
        <v>35.545454</v>
      </c>
      <c r="P7" s="4">
        <v>287.0</v>
      </c>
      <c r="Q7" s="4">
        <v>25.181818</v>
      </c>
      <c r="R7" s="4">
        <v>86.0</v>
      </c>
      <c r="S7" s="5">
        <v>5074.0</v>
      </c>
      <c r="T7" s="4">
        <v>23.916666</v>
      </c>
      <c r="U7" s="7">
        <v>3.5958189155629</v>
      </c>
      <c r="V7" s="5">
        <v>23069.0</v>
      </c>
      <c r="W7" s="5">
        <v>59.0</v>
      </c>
      <c r="X7" s="5">
        <v>59777.395</v>
      </c>
      <c r="Y7" s="5">
        <v>152.88336317136</v>
      </c>
      <c r="Z7" s="5">
        <v>36708.395</v>
      </c>
      <c r="AA7" s="5">
        <v>93.883363171355</v>
      </c>
      <c r="AB7" s="8">
        <v>0.61408488944692</v>
      </c>
      <c r="AC7" s="4">
        <v>391.0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16933.0</v>
      </c>
      <c r="AK7" s="5">
        <v>59.0</v>
      </c>
      <c r="AL7" s="5">
        <v>41059.529</v>
      </c>
      <c r="AM7" s="5">
        <v>143.06456097561</v>
      </c>
      <c r="AN7" s="5">
        <v>24126.529</v>
      </c>
      <c r="AO7" s="5">
        <v>84.06456097561</v>
      </c>
      <c r="AP7" s="8">
        <v>0.58759877640097</v>
      </c>
      <c r="AQ7" s="4">
        <v>287.0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48</v>
      </c>
      <c r="E8" s="4">
        <v>40.0</v>
      </c>
      <c r="F8" s="5">
        <v>6000.0</v>
      </c>
      <c r="G8" s="4">
        <v>160.0</v>
      </c>
      <c r="H8" s="5">
        <v>24000.0</v>
      </c>
      <c r="I8" s="9">
        <v>0</v>
      </c>
      <c r="J8" s="9">
        <v>0</v>
      </c>
      <c r="K8" s="4">
        <v>19.090904</v>
      </c>
      <c r="L8" s="5">
        <v>2863.6356</v>
      </c>
      <c r="M8" s="6">
        <v>1.0</v>
      </c>
      <c r="N8" s="4">
        <v>29.0</v>
      </c>
      <c r="O8" s="4">
        <v>2.636363</v>
      </c>
      <c r="P8" s="4">
        <v>2.0</v>
      </c>
      <c r="Q8" s="4">
        <v>1.363636</v>
      </c>
      <c r="R8" s="4">
        <v>112.0</v>
      </c>
      <c r="S8" s="5">
        <v>16800.0</v>
      </c>
      <c r="T8" s="4">
        <v>0.166666</v>
      </c>
      <c r="U8" s="14">
        <v>672.00268801075</v>
      </c>
      <c r="V8" s="5">
        <v>4350.0</v>
      </c>
      <c r="W8" s="5">
        <v>150.0</v>
      </c>
      <c r="X8" s="5">
        <v>8598.128</v>
      </c>
      <c r="Y8" s="5">
        <v>296.48717241379</v>
      </c>
      <c r="Z8" s="5">
        <v>4248.128</v>
      </c>
      <c r="AA8" s="5">
        <v>146.48717241379</v>
      </c>
      <c r="AB8" s="8">
        <v>0.49407591978161</v>
      </c>
      <c r="AC8" s="4">
        <v>29.0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300.0</v>
      </c>
      <c r="AK8" s="5">
        <v>150.0</v>
      </c>
      <c r="AL8" s="5">
        <v>-575.625</v>
      </c>
      <c r="AM8" s="5">
        <v>-287.8125</v>
      </c>
      <c r="AN8" s="5">
        <v>-875.625</v>
      </c>
      <c r="AO8" s="5">
        <v>-437.8125</v>
      </c>
      <c r="AP8" s="15">
        <v>0</v>
      </c>
      <c r="AQ8" s="4">
        <v>2.0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48</v>
      </c>
      <c r="E9" s="4">
        <v>400.0</v>
      </c>
      <c r="F9" s="5">
        <v>12000.0</v>
      </c>
      <c r="G9" s="4">
        <v>600.0</v>
      </c>
      <c r="H9" s="5">
        <v>18000.0</v>
      </c>
      <c r="I9" s="4">
        <v>300.0</v>
      </c>
      <c r="J9" s="5">
        <v>9000.0</v>
      </c>
      <c r="K9" s="4">
        <v>254.545452</v>
      </c>
      <c r="L9" s="5">
        <v>7636.36356</v>
      </c>
      <c r="M9" s="13">
        <v>-0.17857144035714</v>
      </c>
      <c r="N9" s="4">
        <v>882.0</v>
      </c>
      <c r="O9" s="4">
        <v>78.181818</v>
      </c>
      <c r="P9" s="4">
        <v>200.0</v>
      </c>
      <c r="Q9" s="4">
        <v>18.181818</v>
      </c>
      <c r="R9" s="4">
        <v>78.0</v>
      </c>
      <c r="S9" s="5">
        <v>2340.0</v>
      </c>
      <c r="T9" s="4">
        <v>16.666666</v>
      </c>
      <c r="U9" s="16">
        <v>4.6800001872</v>
      </c>
      <c r="V9" s="5">
        <v>26460.0</v>
      </c>
      <c r="W9" s="5">
        <v>30.0</v>
      </c>
      <c r="X9" s="5">
        <v>140723.204</v>
      </c>
      <c r="Y9" s="5">
        <v>159.55011791383</v>
      </c>
      <c r="Z9" s="5">
        <v>114263.204</v>
      </c>
      <c r="AA9" s="5">
        <v>129.55011791383</v>
      </c>
      <c r="AB9" s="8">
        <v>0.81197130787329</v>
      </c>
      <c r="AC9" s="4">
        <v>882.0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6000.0</v>
      </c>
      <c r="AK9" s="5">
        <v>30.0</v>
      </c>
      <c r="AL9" s="5">
        <v>31354.538</v>
      </c>
      <c r="AM9" s="5">
        <v>156.77269</v>
      </c>
      <c r="AN9" s="5">
        <v>25354.538</v>
      </c>
      <c r="AO9" s="5">
        <v>126.77269</v>
      </c>
      <c r="AP9" s="8">
        <v>0.80864014006521</v>
      </c>
      <c r="AQ9" s="4">
        <v>200.0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63</v>
      </c>
      <c r="E10" s="9">
        <v>0</v>
      </c>
      <c r="F10" s="9">
        <v>0</v>
      </c>
      <c r="G10" s="4">
        <v>64.0</v>
      </c>
      <c r="H10" s="5">
        <v>12800.0</v>
      </c>
      <c r="I10" s="9">
        <v>0</v>
      </c>
      <c r="J10" s="9">
        <v>0</v>
      </c>
      <c r="K10" s="4">
        <v>11.454534</v>
      </c>
      <c r="L10" s="5">
        <v>2290.9068</v>
      </c>
      <c r="M10" s="6">
        <v>1.0</v>
      </c>
      <c r="N10" s="4">
        <v>262.0</v>
      </c>
      <c r="O10" s="4">
        <v>23.818181</v>
      </c>
      <c r="P10" s="4">
        <v>7.0</v>
      </c>
      <c r="Q10" s="4">
        <v>0.818181</v>
      </c>
      <c r="R10" s="9">
        <v>0</v>
      </c>
      <c r="S10" s="9">
        <v>0</v>
      </c>
      <c r="T10" s="4">
        <v>0.583333</v>
      </c>
      <c r="U10" s="12" t="s">
        <v>49</v>
      </c>
      <c r="V10" s="5">
        <v>52400.0</v>
      </c>
      <c r="W10" s="5">
        <v>200.0</v>
      </c>
      <c r="X10" s="5">
        <v>77452.791</v>
      </c>
      <c r="Y10" s="5">
        <v>295.62133969466</v>
      </c>
      <c r="Z10" s="5">
        <v>25052.791</v>
      </c>
      <c r="AA10" s="5">
        <v>95.621339694656</v>
      </c>
      <c r="AB10" s="8">
        <v>0.32345885379392</v>
      </c>
      <c r="AC10" s="4">
        <v>262.0</v>
      </c>
      <c r="AD10" s="4">
        <v>4.0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1400.0</v>
      </c>
      <c r="AK10" s="5">
        <v>200.0</v>
      </c>
      <c r="AL10" s="5">
        <v>2593.458</v>
      </c>
      <c r="AM10" s="5">
        <v>370.494</v>
      </c>
      <c r="AN10" s="5">
        <v>1193.458</v>
      </c>
      <c r="AO10" s="5">
        <v>170.494</v>
      </c>
      <c r="AP10" s="8">
        <v>0.46018019185196</v>
      </c>
      <c r="AQ10" s="4">
        <v>7.0</v>
      </c>
      <c r="AR10" s="4">
        <v>1.0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64</v>
      </c>
      <c r="C11" t="s">
        <v>65</v>
      </c>
      <c r="D11" s="3" t="s">
        <v>66</v>
      </c>
      <c r="E11" s="4">
        <v>700.0</v>
      </c>
      <c r="F11" s="5">
        <v>21000.0</v>
      </c>
      <c r="G11" s="4">
        <v>350.0</v>
      </c>
      <c r="H11" s="5">
        <v>10500.0</v>
      </c>
      <c r="I11" s="9">
        <v>0</v>
      </c>
      <c r="J11" s="9">
        <v>0</v>
      </c>
      <c r="K11" s="4">
        <v>306.72726</v>
      </c>
      <c r="L11" s="5">
        <v>9201.8178</v>
      </c>
      <c r="M11" s="6">
        <v>1.0</v>
      </c>
      <c r="N11" s="4">
        <v>575.0</v>
      </c>
      <c r="O11" s="4">
        <v>51.363636</v>
      </c>
      <c r="P11" s="4">
        <v>241.0</v>
      </c>
      <c r="Q11" s="4">
        <v>21.90909</v>
      </c>
      <c r="R11" s="4">
        <v>888.0</v>
      </c>
      <c r="S11" s="5">
        <v>26640.0</v>
      </c>
      <c r="T11" s="4">
        <v>20.083333</v>
      </c>
      <c r="U11" s="14">
        <v>44.215768368726</v>
      </c>
      <c r="V11" s="5">
        <v>15300.0</v>
      </c>
      <c r="W11" s="5">
        <v>26.608695652174</v>
      </c>
      <c r="X11" s="5">
        <v>32213.126</v>
      </c>
      <c r="Y11" s="5">
        <v>56.022827826087</v>
      </c>
      <c r="Z11" s="5">
        <v>16913.126</v>
      </c>
      <c r="AA11" s="5">
        <v>29.414132173913</v>
      </c>
      <c r="AB11" s="8">
        <v>0.52503833375252</v>
      </c>
      <c r="AC11" s="4">
        <v>575.0</v>
      </c>
      <c r="AD11" s="4">
        <v>17.0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6952.158</v>
      </c>
      <c r="AK11" s="5">
        <v>28.847128630705</v>
      </c>
      <c r="AL11" s="5">
        <v>12962.67</v>
      </c>
      <c r="AM11" s="5">
        <v>53.787012448133</v>
      </c>
      <c r="AN11" s="5">
        <v>6010.512</v>
      </c>
      <c r="AO11" s="5">
        <v>24.939883817427</v>
      </c>
      <c r="AP11" s="8">
        <v>0.46367854770661</v>
      </c>
      <c r="AQ11" s="4">
        <v>241.0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67</v>
      </c>
      <c r="C12" t="s">
        <v>68</v>
      </c>
      <c r="D12" s="3" t="s">
        <v>48</v>
      </c>
      <c r="E12" s="4">
        <v>115.0</v>
      </c>
      <c r="F12" s="5">
        <v>18750.0</v>
      </c>
      <c r="G12" s="4">
        <v>40.0</v>
      </c>
      <c r="H12" s="5">
        <v>10000.0</v>
      </c>
      <c r="I12" s="4">
        <v>40.0</v>
      </c>
      <c r="J12" s="5">
        <v>10000.0</v>
      </c>
      <c r="K12" s="4">
        <v>45.818178</v>
      </c>
      <c r="L12" s="5">
        <v>11454.5445</v>
      </c>
      <c r="M12" s="6">
        <v>0.1269840542328</v>
      </c>
      <c r="N12" s="4">
        <v>46.0</v>
      </c>
      <c r="O12" s="4">
        <v>4.090909</v>
      </c>
      <c r="P12" s="4">
        <v>36.0</v>
      </c>
      <c r="Q12" s="4">
        <v>3.272727</v>
      </c>
      <c r="R12" s="4">
        <v>7.0</v>
      </c>
      <c r="S12" s="5">
        <v>1750.0</v>
      </c>
      <c r="T12" s="4">
        <v>3.0</v>
      </c>
      <c r="U12" s="7">
        <v>2.3333333333333</v>
      </c>
      <c r="V12" s="5">
        <v>9749.996</v>
      </c>
      <c r="W12" s="5">
        <v>211.95643478261</v>
      </c>
      <c r="X12" s="5">
        <v>15910.287</v>
      </c>
      <c r="Y12" s="5">
        <v>345.87580434783</v>
      </c>
      <c r="Z12" s="5">
        <v>6160.291</v>
      </c>
      <c r="AA12" s="5">
        <v>133.91936956522</v>
      </c>
      <c r="AB12" s="8">
        <v>0.38718918143966</v>
      </c>
      <c r="AC12" s="4">
        <v>46.0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11750.0</v>
      </c>
      <c r="AK12" s="5">
        <v>326.38888888889</v>
      </c>
      <c r="AL12" s="5">
        <v>9209.404</v>
      </c>
      <c r="AM12" s="5">
        <v>255.81677777778</v>
      </c>
      <c r="AN12" s="5">
        <v>-2540.596</v>
      </c>
      <c r="AO12" s="5">
        <v>-70.572111111111</v>
      </c>
      <c r="AP12" s="17">
        <v>-0.27586975226627</v>
      </c>
      <c r="AQ12" s="4">
        <v>36.0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69</v>
      </c>
      <c r="C13" t="s">
        <v>70</v>
      </c>
      <c r="D13" s="3" t="s">
        <v>48</v>
      </c>
      <c r="E13" s="4">
        <v>87.0</v>
      </c>
      <c r="F13" s="5">
        <v>9135.0</v>
      </c>
      <c r="G13" s="4">
        <v>98.0</v>
      </c>
      <c r="H13" s="5">
        <v>9190.0</v>
      </c>
      <c r="I13" s="4">
        <v>95.0</v>
      </c>
      <c r="J13" s="5">
        <v>9975.0</v>
      </c>
      <c r="K13" s="4">
        <v>147.636356</v>
      </c>
      <c r="L13" s="5">
        <v>15501.81738</v>
      </c>
      <c r="M13" s="6">
        <v>0.35652706031298</v>
      </c>
      <c r="N13" s="4">
        <v>107.0</v>
      </c>
      <c r="O13" s="4">
        <v>9.363636</v>
      </c>
      <c r="P13" s="4">
        <v>116.0</v>
      </c>
      <c r="Q13" s="4">
        <v>10.545454</v>
      </c>
      <c r="R13" s="4">
        <v>1.0</v>
      </c>
      <c r="S13" s="5">
        <v>105.0</v>
      </c>
      <c r="T13" s="4">
        <v>9.666666</v>
      </c>
      <c r="U13" s="7">
        <v>0.10344828299643</v>
      </c>
      <c r="V13" s="5">
        <v>10190.0</v>
      </c>
      <c r="W13" s="5">
        <v>95.233644859813</v>
      </c>
      <c r="X13" s="5">
        <v>29066.412</v>
      </c>
      <c r="Y13" s="5">
        <v>271.64871028037</v>
      </c>
      <c r="Z13" s="5">
        <v>18876.412</v>
      </c>
      <c r="AA13" s="5">
        <v>176.41506542056</v>
      </c>
      <c r="AB13" s="8">
        <v>0.64942353394014</v>
      </c>
      <c r="AC13" s="4">
        <v>107.0</v>
      </c>
      <c r="AD13" s="4">
        <v>7.0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12180.0</v>
      </c>
      <c r="AK13" s="5">
        <v>105.0</v>
      </c>
      <c r="AL13" s="5">
        <v>25679.477</v>
      </c>
      <c r="AM13" s="5">
        <v>221.37480172414</v>
      </c>
      <c r="AN13" s="5">
        <v>13499.477</v>
      </c>
      <c r="AO13" s="5">
        <v>116.37480172414</v>
      </c>
      <c r="AP13" s="8">
        <v>0.52569127478726</v>
      </c>
      <c r="AQ13" s="4">
        <v>116.0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71</v>
      </c>
      <c r="C14" t="s">
        <v>72</v>
      </c>
      <c r="D14" s="3" t="s">
        <v>48</v>
      </c>
      <c r="E14" s="4">
        <v>20.0</v>
      </c>
      <c r="F14" s="5">
        <v>5900.0</v>
      </c>
      <c r="G14" s="4">
        <v>29.0</v>
      </c>
      <c r="H14" s="5">
        <v>8555.0</v>
      </c>
      <c r="I14" s="9">
        <v>0</v>
      </c>
      <c r="J14" s="9">
        <v>0</v>
      </c>
      <c r="K14" s="4">
        <v>5.090904</v>
      </c>
      <c r="L14" s="5">
        <v>1501.81668</v>
      </c>
      <c r="M14" s="6">
        <v>1.0</v>
      </c>
      <c r="N14" s="9">
        <v>0</v>
      </c>
      <c r="O14" s="9">
        <v>0</v>
      </c>
      <c r="P14" s="4">
        <v>-4.0</v>
      </c>
      <c r="Q14" s="4">
        <v>0.363636</v>
      </c>
      <c r="R14" s="4">
        <v>27.0</v>
      </c>
      <c r="S14" s="5">
        <v>7965.0</v>
      </c>
      <c r="T14" s="4">
        <v>-0.333333</v>
      </c>
      <c r="U14" s="12" t="s">
        <v>49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-1180.0</v>
      </c>
      <c r="AK14" s="9">
        <v>0</v>
      </c>
      <c r="AL14" s="5">
        <v>-719.612</v>
      </c>
      <c r="AM14" s="9">
        <v>0</v>
      </c>
      <c r="AN14" s="5">
        <v>460.388</v>
      </c>
      <c r="AO14" s="9">
        <v>0</v>
      </c>
      <c r="AP14" s="18">
        <v>-0.63977254409321</v>
      </c>
      <c r="AQ14" s="4">
        <v>-4.0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73</v>
      </c>
      <c r="C15" t="s">
        <v>74</v>
      </c>
      <c r="D15" s="3" t="s">
        <v>63</v>
      </c>
      <c r="E15" s="9">
        <v>0</v>
      </c>
      <c r="F15" s="9">
        <v>0</v>
      </c>
      <c r="G15" s="4">
        <v>130.0</v>
      </c>
      <c r="H15" s="5">
        <v>7970.0</v>
      </c>
      <c r="I15" s="9">
        <v>0</v>
      </c>
      <c r="J15" s="9">
        <v>0</v>
      </c>
      <c r="K15" s="4">
        <v>15.272726</v>
      </c>
      <c r="L15" s="5">
        <v>1053.818094</v>
      </c>
      <c r="M15" s="6">
        <v>1.0</v>
      </c>
      <c r="N15" s="4">
        <v>45.0</v>
      </c>
      <c r="O15" s="4">
        <v>4.272727</v>
      </c>
      <c r="P15" s="4">
        <v>-3.0</v>
      </c>
      <c r="Q15" s="4">
        <v>1.090909</v>
      </c>
      <c r="R15" s="4">
        <v>27.0</v>
      </c>
      <c r="S15" s="5">
        <v>1863.0</v>
      </c>
      <c r="T15" s="4">
        <v>-0.25</v>
      </c>
      <c r="U15" s="12" t="s">
        <v>49</v>
      </c>
      <c r="V15" s="5">
        <v>2509.08</v>
      </c>
      <c r="W15" s="5">
        <v>55.757333333333</v>
      </c>
      <c r="X15" s="5">
        <v>3897.201</v>
      </c>
      <c r="Y15" s="5">
        <v>86.604466666667</v>
      </c>
      <c r="Z15" s="5">
        <v>1388.121</v>
      </c>
      <c r="AA15" s="5">
        <v>30.847133333333</v>
      </c>
      <c r="AB15" s="8">
        <v>0.3561840921215</v>
      </c>
      <c r="AC15" s="4">
        <v>45.0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-124.703</v>
      </c>
      <c r="AK15" s="9">
        <v>0</v>
      </c>
      <c r="AL15" s="5">
        <v>-299.068</v>
      </c>
      <c r="AM15" s="9">
        <v>0</v>
      </c>
      <c r="AN15" s="5">
        <v>-174.365</v>
      </c>
      <c r="AO15" s="9">
        <v>0</v>
      </c>
      <c r="AP15" s="15">
        <v>0</v>
      </c>
      <c r="AQ15" s="4">
        <v>-3.0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75</v>
      </c>
      <c r="C16" t="s">
        <v>76</v>
      </c>
      <c r="D16" s="3" t="s">
        <v>63</v>
      </c>
      <c r="E16" s="4">
        <v>100.0</v>
      </c>
      <c r="F16" s="5">
        <v>6900.0</v>
      </c>
      <c r="G16" s="4">
        <v>110.0</v>
      </c>
      <c r="H16" s="5">
        <v>7590.0</v>
      </c>
      <c r="I16" s="9">
        <v>0</v>
      </c>
      <c r="J16" s="9">
        <v>0</v>
      </c>
      <c r="K16" s="4">
        <v>25.454534</v>
      </c>
      <c r="L16" s="5">
        <v>1756.362846</v>
      </c>
      <c r="M16" s="6">
        <v>1.0</v>
      </c>
      <c r="N16" s="4">
        <v>150.0</v>
      </c>
      <c r="O16" s="4">
        <v>13.636363</v>
      </c>
      <c r="P16" s="4">
        <v>-2.0</v>
      </c>
      <c r="Q16" s="4">
        <v>1.818181</v>
      </c>
      <c r="R16" s="4">
        <v>1.0</v>
      </c>
      <c r="S16" s="5">
        <v>69.0</v>
      </c>
      <c r="T16" s="4">
        <v>-0.166666</v>
      </c>
      <c r="U16" s="12" t="s">
        <v>49</v>
      </c>
      <c r="V16" s="5">
        <v>10350.0</v>
      </c>
      <c r="W16" s="5">
        <v>69.0</v>
      </c>
      <c r="X16" s="5">
        <v>16990.692</v>
      </c>
      <c r="Y16" s="5">
        <v>113.27128</v>
      </c>
      <c r="Z16" s="5">
        <v>6640.692</v>
      </c>
      <c r="AA16" s="5">
        <v>44.27128</v>
      </c>
      <c r="AB16" s="8">
        <v>0.39084293918105</v>
      </c>
      <c r="AC16" s="4">
        <v>150.0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-138.0</v>
      </c>
      <c r="AK16" s="9">
        <v>0</v>
      </c>
      <c r="AL16" s="5">
        <v>-37.3</v>
      </c>
      <c r="AM16" s="9">
        <v>0</v>
      </c>
      <c r="AN16" s="5">
        <v>100.7</v>
      </c>
      <c r="AO16" s="9">
        <v>0</v>
      </c>
      <c r="AP16" s="18">
        <v>-2.6997319034853</v>
      </c>
      <c r="AQ16" s="4">
        <v>-2.0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77</v>
      </c>
      <c r="C17" t="s">
        <v>78</v>
      </c>
      <c r="D17" s="3" t="s">
        <v>52</v>
      </c>
      <c r="E17" s="4">
        <v>70.0</v>
      </c>
      <c r="F17" s="5">
        <v>1400.0</v>
      </c>
      <c r="G17" s="4">
        <v>350.0</v>
      </c>
      <c r="H17" s="5">
        <v>7000.0</v>
      </c>
      <c r="I17" s="4">
        <v>50.0</v>
      </c>
      <c r="J17" s="5">
        <v>1000.0</v>
      </c>
      <c r="K17" s="4">
        <v>190.909082</v>
      </c>
      <c r="L17" s="5">
        <v>3818.18164</v>
      </c>
      <c r="M17" s="6">
        <v>0.73809522587302</v>
      </c>
      <c r="N17" s="4">
        <v>305.0</v>
      </c>
      <c r="O17" s="4">
        <v>27.727272</v>
      </c>
      <c r="P17" s="4">
        <v>150.0</v>
      </c>
      <c r="Q17" s="4">
        <v>13.636363</v>
      </c>
      <c r="R17" s="4">
        <v>29.0</v>
      </c>
      <c r="S17" s="5">
        <v>580.0</v>
      </c>
      <c r="T17" s="4">
        <v>12.5</v>
      </c>
      <c r="U17" s="7">
        <v>2.32</v>
      </c>
      <c r="V17" s="5">
        <v>6100.0</v>
      </c>
      <c r="W17" s="5">
        <v>20.0</v>
      </c>
      <c r="X17" s="5">
        <v>26287.302</v>
      </c>
      <c r="Y17" s="5">
        <v>86.187875409836</v>
      </c>
      <c r="Z17" s="5">
        <v>20187.302</v>
      </c>
      <c r="AA17" s="5">
        <v>66.187875409836</v>
      </c>
      <c r="AB17" s="8">
        <v>0.76794879900569</v>
      </c>
      <c r="AC17" s="4">
        <v>305.0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3467.32</v>
      </c>
      <c r="AK17" s="5">
        <v>23.115466666667</v>
      </c>
      <c r="AL17" s="5">
        <v>13438.712</v>
      </c>
      <c r="AM17" s="5">
        <v>89.591413333333</v>
      </c>
      <c r="AN17" s="5">
        <v>9971.392</v>
      </c>
      <c r="AO17" s="5">
        <v>66.475946666667</v>
      </c>
      <c r="AP17" s="8">
        <v>0.7419901550089</v>
      </c>
      <c r="AQ17" s="4">
        <v>150.0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52</v>
      </c>
      <c r="E18" s="4">
        <v>45.0</v>
      </c>
      <c r="F18" s="5">
        <v>2250.0</v>
      </c>
      <c r="G18" s="4">
        <v>131.0</v>
      </c>
      <c r="H18" s="5">
        <v>6550.0</v>
      </c>
      <c r="I18" s="4">
        <v>300.0</v>
      </c>
      <c r="J18" s="5">
        <v>15000.0</v>
      </c>
      <c r="K18" s="4">
        <v>334.72726</v>
      </c>
      <c r="L18" s="5">
        <v>16736.363</v>
      </c>
      <c r="M18" s="6">
        <v>0.10374792898553</v>
      </c>
      <c r="N18" s="4">
        <v>100.0</v>
      </c>
      <c r="O18" s="4">
        <v>9.0</v>
      </c>
      <c r="P18" s="4">
        <v>267.0</v>
      </c>
      <c r="Q18" s="4">
        <v>23.90909</v>
      </c>
      <c r="R18" s="4">
        <v>4.0</v>
      </c>
      <c r="S18" s="5">
        <v>200.0</v>
      </c>
      <c r="T18" s="4">
        <v>22.25</v>
      </c>
      <c r="U18" s="7">
        <v>0.17977528089888</v>
      </c>
      <c r="V18" s="5">
        <v>5000.0</v>
      </c>
      <c r="W18" s="5">
        <v>50.0</v>
      </c>
      <c r="X18" s="5">
        <v>11981.343</v>
      </c>
      <c r="Y18" s="5">
        <v>119.81343</v>
      </c>
      <c r="Z18" s="5">
        <v>6981.343</v>
      </c>
      <c r="AA18" s="5">
        <v>69.81343</v>
      </c>
      <c r="AB18" s="8">
        <v>0.58268451207849</v>
      </c>
      <c r="AC18" s="4">
        <v>100.0</v>
      </c>
      <c r="AD18" s="4">
        <v>3.0</v>
      </c>
      <c r="AE18" s="9">
        <v>0</v>
      </c>
      <c r="AF18" s="9">
        <v>0</v>
      </c>
      <c r="AG18" s="3">
        <v>0</v>
      </c>
      <c r="AH18" s="4">
        <v>1.0</v>
      </c>
      <c r="AI18" s="5">
        <v>50.0</v>
      </c>
      <c r="AJ18" s="5">
        <v>13350.0</v>
      </c>
      <c r="AK18" s="5">
        <v>50.0</v>
      </c>
      <c r="AL18" s="5">
        <v>31219.806</v>
      </c>
      <c r="AM18" s="5">
        <v>116.92811235955</v>
      </c>
      <c r="AN18" s="5">
        <v>17869.806</v>
      </c>
      <c r="AO18" s="5">
        <v>66.928112359551</v>
      </c>
      <c r="AP18" s="8">
        <v>0.57238683674075</v>
      </c>
      <c r="AQ18" s="4">
        <v>267.0</v>
      </c>
      <c r="AR18" s="4">
        <v>1.0</v>
      </c>
      <c r="AS18" s="9">
        <v>0</v>
      </c>
      <c r="AT18" s="9">
        <v>0</v>
      </c>
      <c r="AU18" s="3">
        <v>0</v>
      </c>
      <c r="AV18" s="4">
        <v>1.0</v>
      </c>
      <c r="AW18" s="5">
        <v>50.0</v>
      </c>
    </row>
    <row r="19" spans="1:49">
      <c r="A19" s="3">
        <v>17</v>
      </c>
      <c r="B19" s="3" t="s">
        <v>81</v>
      </c>
      <c r="C19" t="s">
        <v>82</v>
      </c>
      <c r="D19" s="3" t="s">
        <v>52</v>
      </c>
      <c r="E19" s="4">
        <v>140.0</v>
      </c>
      <c r="F19" s="5">
        <v>7700.0</v>
      </c>
      <c r="G19" s="4">
        <v>110.0</v>
      </c>
      <c r="H19" s="5">
        <v>6050.0</v>
      </c>
      <c r="I19" s="9">
        <v>0</v>
      </c>
      <c r="J19" s="9">
        <v>0</v>
      </c>
      <c r="K19" s="4">
        <v>47.090904</v>
      </c>
      <c r="L19" s="5">
        <v>2589.99972</v>
      </c>
      <c r="M19" s="6">
        <v>1.0</v>
      </c>
      <c r="N19" s="4">
        <v>134.0</v>
      </c>
      <c r="O19" s="4">
        <v>12.181818</v>
      </c>
      <c r="P19" s="4">
        <v>28.0</v>
      </c>
      <c r="Q19" s="4">
        <v>3.363636</v>
      </c>
      <c r="R19" s="4">
        <v>28.0</v>
      </c>
      <c r="S19" s="5">
        <v>1540.0</v>
      </c>
      <c r="T19" s="4">
        <v>2.333333</v>
      </c>
      <c r="U19" s="14">
        <v>12.000001714286</v>
      </c>
      <c r="V19" s="5">
        <v>7370.0</v>
      </c>
      <c r="W19" s="5">
        <v>55.0</v>
      </c>
      <c r="X19" s="5">
        <v>12040.758</v>
      </c>
      <c r="Y19" s="5">
        <v>89.856402985075</v>
      </c>
      <c r="Z19" s="5">
        <v>4670.758</v>
      </c>
      <c r="AA19" s="5">
        <v>34.856402985075</v>
      </c>
      <c r="AB19" s="8">
        <v>0.38791228924292</v>
      </c>
      <c r="AC19" s="4">
        <v>134.0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1540.0</v>
      </c>
      <c r="AK19" s="5">
        <v>55.0</v>
      </c>
      <c r="AL19" s="5">
        <v>2014.387</v>
      </c>
      <c r="AM19" s="5">
        <v>71.942392857143</v>
      </c>
      <c r="AN19" s="5">
        <v>474.387</v>
      </c>
      <c r="AO19" s="5">
        <v>16.942392857143</v>
      </c>
      <c r="AP19" s="19">
        <v>0.23549943481565</v>
      </c>
      <c r="AQ19" s="4">
        <v>28.0</v>
      </c>
      <c r="AR19" s="4">
        <v>4.0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83</v>
      </c>
      <c r="C20" t="s">
        <v>84</v>
      </c>
      <c r="D20" s="3" t="s">
        <v>48</v>
      </c>
      <c r="E20" s="9">
        <v>0</v>
      </c>
      <c r="F20" s="9">
        <v>0</v>
      </c>
      <c r="G20" s="4">
        <v>50.0</v>
      </c>
      <c r="H20" s="5">
        <v>4750.0</v>
      </c>
      <c r="I20" s="9">
        <v>0</v>
      </c>
      <c r="J20" s="9">
        <v>0</v>
      </c>
      <c r="K20" s="9">
        <v>0</v>
      </c>
      <c r="L20" s="9">
        <v>0</v>
      </c>
      <c r="M20" s="11">
        <v>0</v>
      </c>
      <c r="N20" s="4">
        <v>8.0</v>
      </c>
      <c r="O20" s="4">
        <v>0.727272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12" t="s">
        <v>49</v>
      </c>
      <c r="V20" s="5">
        <v>760.0</v>
      </c>
      <c r="W20" s="5">
        <v>95.0</v>
      </c>
      <c r="X20" s="5">
        <v>1838.4</v>
      </c>
      <c r="Y20" s="5">
        <v>229.8</v>
      </c>
      <c r="Z20" s="5">
        <v>1078.4</v>
      </c>
      <c r="AA20" s="5">
        <v>134.8</v>
      </c>
      <c r="AB20" s="8">
        <v>0.58659704090513</v>
      </c>
      <c r="AC20" s="4">
        <v>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85</v>
      </c>
      <c r="C21" t="s">
        <v>86</v>
      </c>
      <c r="D21" s="3" t="s">
        <v>52</v>
      </c>
      <c r="E21" s="4">
        <v>10.0</v>
      </c>
      <c r="F21" s="5">
        <v>500.0</v>
      </c>
      <c r="G21" s="4">
        <v>48.0</v>
      </c>
      <c r="H21" s="5">
        <v>4080.0</v>
      </c>
      <c r="I21" s="4">
        <v>165.0</v>
      </c>
      <c r="J21" s="5">
        <v>14025.0</v>
      </c>
      <c r="K21" s="4">
        <v>225.272726</v>
      </c>
      <c r="L21" s="5">
        <v>19148.18171</v>
      </c>
      <c r="M21" s="6">
        <v>0.26755447528078</v>
      </c>
      <c r="N21" s="4">
        <v>63.0</v>
      </c>
      <c r="O21" s="4">
        <v>5.727272</v>
      </c>
      <c r="P21" s="4">
        <v>179.0</v>
      </c>
      <c r="Q21" s="4">
        <v>16.090909</v>
      </c>
      <c r="R21" s="4">
        <v>43.0</v>
      </c>
      <c r="S21" s="5">
        <v>3655.0</v>
      </c>
      <c r="T21" s="4">
        <v>14.916666</v>
      </c>
      <c r="U21" s="7">
        <v>2.8826816930807</v>
      </c>
      <c r="V21" s="5">
        <v>5075.0</v>
      </c>
      <c r="W21" s="5">
        <v>80.555555555556</v>
      </c>
      <c r="X21" s="5">
        <v>11464.666</v>
      </c>
      <c r="Y21" s="5">
        <v>181.97882539683</v>
      </c>
      <c r="Z21" s="5">
        <v>6389.666</v>
      </c>
      <c r="AA21" s="5">
        <v>101.42326984127</v>
      </c>
      <c r="AB21" s="8">
        <v>0.55733555604673</v>
      </c>
      <c r="AC21" s="4">
        <v>63.0</v>
      </c>
      <c r="AD21" s="4">
        <v>3.0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14970.0</v>
      </c>
      <c r="AK21" s="5">
        <v>83.631284916201</v>
      </c>
      <c r="AL21" s="5">
        <v>30586.877</v>
      </c>
      <c r="AM21" s="5">
        <v>170.87640782123</v>
      </c>
      <c r="AN21" s="5">
        <v>15616.877</v>
      </c>
      <c r="AO21" s="5">
        <v>87.245122905028</v>
      </c>
      <c r="AP21" s="8">
        <v>0.51057442052682</v>
      </c>
      <c r="AQ21" s="4">
        <v>179.0</v>
      </c>
      <c r="AR21" s="4">
        <v>3.0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87</v>
      </c>
      <c r="C22" t="s">
        <v>88</v>
      </c>
      <c r="D22" s="3" t="s">
        <v>52</v>
      </c>
      <c r="E22" s="4">
        <v>70.0</v>
      </c>
      <c r="F22" s="5">
        <v>3430.0</v>
      </c>
      <c r="G22" s="4">
        <v>80.0</v>
      </c>
      <c r="H22" s="5">
        <v>3920.0</v>
      </c>
      <c r="I22" s="4">
        <v>100.0</v>
      </c>
      <c r="J22" s="5">
        <v>4900.0</v>
      </c>
      <c r="K22" s="4">
        <v>112.0</v>
      </c>
      <c r="L22" s="5">
        <v>5488.0</v>
      </c>
      <c r="M22" s="6">
        <v>0.10714285714286</v>
      </c>
      <c r="N22" s="4">
        <v>58.0</v>
      </c>
      <c r="O22" s="4">
        <v>5.272727</v>
      </c>
      <c r="P22" s="4">
        <v>88.0</v>
      </c>
      <c r="Q22" s="4">
        <v>8.0</v>
      </c>
      <c r="R22" s="4">
        <v>57.0</v>
      </c>
      <c r="S22" s="5">
        <v>2793.0</v>
      </c>
      <c r="T22" s="4">
        <v>7.333333</v>
      </c>
      <c r="U22" s="14">
        <v>7.7727276260331</v>
      </c>
      <c r="V22" s="5">
        <v>2842.0</v>
      </c>
      <c r="W22" s="5">
        <v>49.0</v>
      </c>
      <c r="X22" s="5">
        <v>6130.792</v>
      </c>
      <c r="Y22" s="5">
        <v>105.70331034483</v>
      </c>
      <c r="Z22" s="5">
        <v>3288.792</v>
      </c>
      <c r="AA22" s="5">
        <v>56.703310344828</v>
      </c>
      <c r="AB22" s="8">
        <v>0.53643835902441</v>
      </c>
      <c r="AC22" s="4">
        <v>58.0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4312.0</v>
      </c>
      <c r="AK22" s="5">
        <v>49.0</v>
      </c>
      <c r="AL22" s="5">
        <v>9539.0</v>
      </c>
      <c r="AM22" s="5">
        <v>108.39772727273</v>
      </c>
      <c r="AN22" s="5">
        <v>5227.0</v>
      </c>
      <c r="AO22" s="5">
        <v>59.397727272727</v>
      </c>
      <c r="AP22" s="8">
        <v>0.54796100220149</v>
      </c>
      <c r="AQ22" s="4">
        <v>88.0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89</v>
      </c>
      <c r="C23" t="s">
        <v>90</v>
      </c>
      <c r="D23" s="3" t="s">
        <v>48</v>
      </c>
      <c r="E23" s="9">
        <v>0</v>
      </c>
      <c r="F23" s="9">
        <v>0</v>
      </c>
      <c r="G23" s="4">
        <v>2.0</v>
      </c>
      <c r="H23" s="5">
        <v>3550.0</v>
      </c>
      <c r="I23" s="9">
        <v>0</v>
      </c>
      <c r="J23" s="9">
        <v>0</v>
      </c>
      <c r="K23" s="9">
        <v>0</v>
      </c>
      <c r="L23" s="9">
        <v>0</v>
      </c>
      <c r="M23" s="11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2" t="s">
        <v>49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91</v>
      </c>
      <c r="C24" t="s">
        <v>92</v>
      </c>
      <c r="D24" s="3" t="s">
        <v>48</v>
      </c>
      <c r="E24" s="4">
        <v>1292.0</v>
      </c>
      <c r="F24" s="5">
        <v>91440.0</v>
      </c>
      <c r="G24" s="4">
        <v>50.0</v>
      </c>
      <c r="H24" s="5">
        <v>3500.0</v>
      </c>
      <c r="I24" s="9">
        <v>0</v>
      </c>
      <c r="J24" s="9">
        <v>0</v>
      </c>
      <c r="K24" s="4">
        <v>62.36363</v>
      </c>
      <c r="L24" s="5">
        <v>4365.4541</v>
      </c>
      <c r="M24" s="6">
        <v>1.0</v>
      </c>
      <c r="N24" s="4">
        <v>156.0</v>
      </c>
      <c r="O24" s="4">
        <v>13.818181</v>
      </c>
      <c r="P24" s="4">
        <v>49.0</v>
      </c>
      <c r="Q24" s="4">
        <v>4.454545</v>
      </c>
      <c r="R24" s="4">
        <v>10.0</v>
      </c>
      <c r="S24" s="5">
        <v>700.0</v>
      </c>
      <c r="T24" s="4">
        <v>4.083333</v>
      </c>
      <c r="U24" s="7">
        <v>2.4489797917535</v>
      </c>
      <c r="V24" s="5">
        <v>10920.0</v>
      </c>
      <c r="W24" s="5">
        <v>70.0</v>
      </c>
      <c r="X24" s="5">
        <v>23410.396</v>
      </c>
      <c r="Y24" s="5">
        <v>150.06664102564</v>
      </c>
      <c r="Z24" s="5">
        <v>12490.396</v>
      </c>
      <c r="AA24" s="5">
        <v>80.066641025641</v>
      </c>
      <c r="AB24" s="8">
        <v>0.53354056889939</v>
      </c>
      <c r="AC24" s="4">
        <v>156.0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2956.309</v>
      </c>
      <c r="AK24" s="5">
        <v>60.332836734694</v>
      </c>
      <c r="AL24" s="5">
        <v>7852.344</v>
      </c>
      <c r="AM24" s="5">
        <v>160.25191836735</v>
      </c>
      <c r="AN24" s="5">
        <v>4896.035</v>
      </c>
      <c r="AO24" s="5">
        <v>99.919081632653</v>
      </c>
      <c r="AP24" s="8">
        <v>0.62351254606268</v>
      </c>
      <c r="AQ24" s="4">
        <v>49.0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93</v>
      </c>
      <c r="C25" t="s">
        <v>94</v>
      </c>
      <c r="D25" s="3" t="s">
        <v>48</v>
      </c>
      <c r="E25" s="4">
        <v>35.0</v>
      </c>
      <c r="F25" s="5">
        <v>1925.0</v>
      </c>
      <c r="G25" s="4">
        <v>45.0</v>
      </c>
      <c r="H25" s="5">
        <v>3375.0</v>
      </c>
      <c r="I25" s="9">
        <v>0</v>
      </c>
      <c r="J25" s="9">
        <v>0</v>
      </c>
      <c r="K25" s="4">
        <v>7.636356</v>
      </c>
      <c r="L25" s="5">
        <v>801.81738</v>
      </c>
      <c r="M25" s="6">
        <v>1.0</v>
      </c>
      <c r="N25" s="4">
        <v>37.0</v>
      </c>
      <c r="O25" s="4">
        <v>3.363636</v>
      </c>
      <c r="P25" s="4">
        <v>6.0</v>
      </c>
      <c r="Q25" s="4">
        <v>0.545454</v>
      </c>
      <c r="R25" s="4">
        <v>1.0</v>
      </c>
      <c r="S25" s="5">
        <v>105.0</v>
      </c>
      <c r="T25" s="4">
        <v>0.5</v>
      </c>
      <c r="U25" s="7">
        <v>2.0</v>
      </c>
      <c r="V25" s="5">
        <v>2534.999</v>
      </c>
      <c r="W25" s="5">
        <v>68.513486486486</v>
      </c>
      <c r="X25" s="5">
        <v>5112.161</v>
      </c>
      <c r="Y25" s="5">
        <v>138.16651351351</v>
      </c>
      <c r="Z25" s="5">
        <v>2577.162</v>
      </c>
      <c r="AA25" s="5">
        <v>69.653027027027</v>
      </c>
      <c r="AB25" s="8">
        <v>0.50412379422323</v>
      </c>
      <c r="AC25" s="4">
        <v>37.0</v>
      </c>
      <c r="AD25" s="4">
        <v>4.0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1290.0</v>
      </c>
      <c r="AK25" s="5">
        <v>215.0</v>
      </c>
      <c r="AL25" s="5">
        <v>990.653</v>
      </c>
      <c r="AM25" s="5">
        <v>165.10883333333</v>
      </c>
      <c r="AN25" s="5">
        <v>-299.347</v>
      </c>
      <c r="AO25" s="5">
        <v>-49.891166666667</v>
      </c>
      <c r="AP25" s="17">
        <v>-0.30217139603877</v>
      </c>
      <c r="AQ25" s="4">
        <v>6.0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95</v>
      </c>
      <c r="C26" t="s">
        <v>96</v>
      </c>
      <c r="D26" s="3" t="s">
        <v>48</v>
      </c>
      <c r="E26" s="9">
        <v>0</v>
      </c>
      <c r="F26" s="9">
        <v>0</v>
      </c>
      <c r="G26" s="4">
        <v>10.0</v>
      </c>
      <c r="H26" s="5">
        <v>2950.0</v>
      </c>
      <c r="I26" s="9">
        <v>0</v>
      </c>
      <c r="J26" s="9">
        <v>0</v>
      </c>
      <c r="K26" s="9">
        <v>0</v>
      </c>
      <c r="L26" s="9">
        <v>0</v>
      </c>
      <c r="M26" s="11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5">
        <v>2950.0</v>
      </c>
      <c r="T26" s="9">
        <v>0</v>
      </c>
      <c r="U26" s="12" t="s">
        <v>49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97</v>
      </c>
      <c r="C27" t="s">
        <v>98</v>
      </c>
      <c r="D27" s="3" t="s">
        <v>52</v>
      </c>
      <c r="E27" s="4">
        <v>220.0</v>
      </c>
      <c r="F27" s="5">
        <v>12100.0</v>
      </c>
      <c r="G27" s="4">
        <v>50.0</v>
      </c>
      <c r="H27" s="5">
        <v>2750.0</v>
      </c>
      <c r="I27" s="4">
        <v>230.0</v>
      </c>
      <c r="J27" s="5">
        <v>12650.0</v>
      </c>
      <c r="K27" s="4">
        <v>224.0</v>
      </c>
      <c r="L27" s="5">
        <v>12320.0</v>
      </c>
      <c r="M27" s="13">
        <v>-0.026785714285714</v>
      </c>
      <c r="N27" s="4">
        <v>131.0</v>
      </c>
      <c r="O27" s="4">
        <v>11.90909</v>
      </c>
      <c r="P27" s="4">
        <v>176.0</v>
      </c>
      <c r="Q27" s="4">
        <v>16.0</v>
      </c>
      <c r="R27" s="4">
        <v>120.0</v>
      </c>
      <c r="S27" s="5">
        <v>6600.0</v>
      </c>
      <c r="T27" s="4">
        <v>14.666666</v>
      </c>
      <c r="U27" s="14">
        <v>8.181818553719</v>
      </c>
      <c r="V27" s="5">
        <v>7205.0</v>
      </c>
      <c r="W27" s="5">
        <v>55.0</v>
      </c>
      <c r="X27" s="5">
        <v>19525.264</v>
      </c>
      <c r="Y27" s="5">
        <v>149.04781679389</v>
      </c>
      <c r="Z27" s="5">
        <v>12320.264</v>
      </c>
      <c r="AA27" s="5">
        <v>94.047816793893</v>
      </c>
      <c r="AB27" s="8">
        <v>0.63099090491171</v>
      </c>
      <c r="AC27" s="4">
        <v>131.0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9596.006</v>
      </c>
      <c r="AK27" s="5">
        <v>54.522761363636</v>
      </c>
      <c r="AL27" s="5">
        <v>26656.238</v>
      </c>
      <c r="AM27" s="5">
        <v>151.45589772727</v>
      </c>
      <c r="AN27" s="5">
        <v>17060.232</v>
      </c>
      <c r="AO27" s="5">
        <v>96.933136363636</v>
      </c>
      <c r="AP27" s="8">
        <v>0.64000899151636</v>
      </c>
      <c r="AQ27" s="4">
        <v>176.0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52</v>
      </c>
      <c r="E28" s="4">
        <v>120.0</v>
      </c>
      <c r="F28" s="5">
        <v>2640.0</v>
      </c>
      <c r="G28" s="4">
        <v>110.0</v>
      </c>
      <c r="H28" s="5">
        <v>2420.0</v>
      </c>
      <c r="I28" s="4">
        <v>50.0</v>
      </c>
      <c r="J28" s="5">
        <v>1100.0</v>
      </c>
      <c r="K28" s="4">
        <v>85.272726</v>
      </c>
      <c r="L28" s="5">
        <v>1875.999972</v>
      </c>
      <c r="M28" s="6">
        <v>0.41364604668555</v>
      </c>
      <c r="N28" s="4">
        <v>110.0</v>
      </c>
      <c r="O28" s="4">
        <v>10.0</v>
      </c>
      <c r="P28" s="4">
        <v>67.0</v>
      </c>
      <c r="Q28" s="4">
        <v>6.090909</v>
      </c>
      <c r="R28" s="4">
        <v>45.0</v>
      </c>
      <c r="S28" s="5">
        <v>990.0</v>
      </c>
      <c r="T28" s="4">
        <v>5.583333</v>
      </c>
      <c r="U28" s="14">
        <v>8.0597019737136</v>
      </c>
      <c r="V28" s="5">
        <v>2420.0</v>
      </c>
      <c r="W28" s="5">
        <v>22.0</v>
      </c>
      <c r="X28" s="5">
        <v>8689.838</v>
      </c>
      <c r="Y28" s="5">
        <v>78.998527272727</v>
      </c>
      <c r="Z28" s="5">
        <v>6269.838</v>
      </c>
      <c r="AA28" s="5">
        <v>56.998527272727</v>
      </c>
      <c r="AB28" s="8">
        <v>0.72151379576927</v>
      </c>
      <c r="AC28" s="4">
        <v>110.0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1667.081</v>
      </c>
      <c r="AK28" s="5">
        <v>24.881805970149</v>
      </c>
      <c r="AL28" s="5">
        <v>5972.227</v>
      </c>
      <c r="AM28" s="5">
        <v>89.13771641791</v>
      </c>
      <c r="AN28" s="5">
        <v>4305.146</v>
      </c>
      <c r="AO28" s="5">
        <v>64.255910447761</v>
      </c>
      <c r="AP28" s="8">
        <v>0.72086107912509</v>
      </c>
      <c r="AQ28" s="4">
        <v>67.0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52</v>
      </c>
      <c r="E29" s="4">
        <v>50.0</v>
      </c>
      <c r="F29" s="5">
        <v>1500.0</v>
      </c>
      <c r="G29" s="4">
        <v>80.0</v>
      </c>
      <c r="H29" s="5">
        <v>2400.0</v>
      </c>
      <c r="I29" s="4">
        <v>110.0</v>
      </c>
      <c r="J29" s="5">
        <v>3300.0</v>
      </c>
      <c r="K29" s="4">
        <v>104.36363</v>
      </c>
      <c r="L29" s="5">
        <v>3130.9089</v>
      </c>
      <c r="M29" s="13">
        <v>-0.054007032909836</v>
      </c>
      <c r="N29" s="4">
        <v>83.0</v>
      </c>
      <c r="O29" s="4">
        <v>7.545454</v>
      </c>
      <c r="P29" s="4">
        <v>82.0</v>
      </c>
      <c r="Q29" s="4">
        <v>7.454545</v>
      </c>
      <c r="R29" s="4">
        <v>56.0</v>
      </c>
      <c r="S29" s="5">
        <v>1680.0</v>
      </c>
      <c r="T29" s="4">
        <v>6.833333</v>
      </c>
      <c r="U29" s="14">
        <v>8.1951223509816</v>
      </c>
      <c r="V29" s="5">
        <v>2490.0</v>
      </c>
      <c r="W29" s="5">
        <v>30.0</v>
      </c>
      <c r="X29" s="5">
        <v>7654.903</v>
      </c>
      <c r="Y29" s="5">
        <v>92.227746987952</v>
      </c>
      <c r="Z29" s="5">
        <v>5164.903</v>
      </c>
      <c r="AA29" s="5">
        <v>62.227746987952</v>
      </c>
      <c r="AB29" s="8">
        <v>0.67471828186458</v>
      </c>
      <c r="AC29" s="4">
        <v>83.0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2375.999</v>
      </c>
      <c r="AK29" s="5">
        <v>28.975597560976</v>
      </c>
      <c r="AL29" s="5">
        <v>8261.277</v>
      </c>
      <c r="AM29" s="5">
        <v>100.7472804878</v>
      </c>
      <c r="AN29" s="5">
        <v>5885.278</v>
      </c>
      <c r="AO29" s="5">
        <v>71.771682926829</v>
      </c>
      <c r="AP29" s="8">
        <v>0.71239325348853</v>
      </c>
      <c r="AQ29" s="4">
        <v>82.0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48</v>
      </c>
      <c r="E30" s="4">
        <v>35.0</v>
      </c>
      <c r="F30" s="5">
        <v>5725.0</v>
      </c>
      <c r="G30" s="4">
        <v>10.0</v>
      </c>
      <c r="H30" s="5">
        <v>2290.0</v>
      </c>
      <c r="I30" s="9">
        <v>0</v>
      </c>
      <c r="J30" s="9">
        <v>0</v>
      </c>
      <c r="K30" s="4">
        <v>77.636356</v>
      </c>
      <c r="L30" s="5">
        <v>17778.725524</v>
      </c>
      <c r="M30" s="6">
        <v>1.0</v>
      </c>
      <c r="N30" s="4">
        <v>29.0</v>
      </c>
      <c r="O30" s="4">
        <v>2.636363</v>
      </c>
      <c r="P30" s="4">
        <v>61.0</v>
      </c>
      <c r="Q30" s="4">
        <v>5.545454</v>
      </c>
      <c r="R30" s="4">
        <v>2.0</v>
      </c>
      <c r="S30" s="5">
        <v>458.0</v>
      </c>
      <c r="T30" s="4">
        <v>5.083333</v>
      </c>
      <c r="U30" s="7">
        <v>0.39344264875034</v>
      </c>
      <c r="V30" s="5">
        <v>6641.0</v>
      </c>
      <c r="W30" s="5">
        <v>229.0</v>
      </c>
      <c r="X30" s="5">
        <v>13989.189</v>
      </c>
      <c r="Y30" s="5">
        <v>482.38582758621</v>
      </c>
      <c r="Z30" s="5">
        <v>7348.189</v>
      </c>
      <c r="AA30" s="5">
        <v>253.38582758621</v>
      </c>
      <c r="AB30" s="8">
        <v>0.52527626869578</v>
      </c>
      <c r="AC30" s="4">
        <v>29.0</v>
      </c>
      <c r="AD30" s="4">
        <v>8.0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14165.28</v>
      </c>
      <c r="AK30" s="5">
        <v>232.21770491803</v>
      </c>
      <c r="AL30" s="5">
        <v>28994.103</v>
      </c>
      <c r="AM30" s="5">
        <v>475.31316393443</v>
      </c>
      <c r="AN30" s="5">
        <v>14828.823</v>
      </c>
      <c r="AO30" s="5">
        <v>243.09545901639</v>
      </c>
      <c r="AP30" s="8">
        <v>0.51144272337034</v>
      </c>
      <c r="AQ30" s="4">
        <v>61.0</v>
      </c>
      <c r="AR30" s="4">
        <v>1.0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48</v>
      </c>
      <c r="E31" s="9">
        <v>0</v>
      </c>
      <c r="F31" s="9">
        <v>0</v>
      </c>
      <c r="G31" s="4">
        <v>10.0</v>
      </c>
      <c r="H31" s="5">
        <v>1900.0</v>
      </c>
      <c r="I31" s="9">
        <v>0</v>
      </c>
      <c r="J31" s="9">
        <v>0</v>
      </c>
      <c r="K31" s="4">
        <v>5.090904</v>
      </c>
      <c r="L31" s="5">
        <v>967.27176</v>
      </c>
      <c r="M31" s="6">
        <v>1.0</v>
      </c>
      <c r="N31" s="4">
        <v>4.0</v>
      </c>
      <c r="O31" s="4">
        <v>0.363636</v>
      </c>
      <c r="P31" s="4">
        <v>4.0</v>
      </c>
      <c r="Q31" s="4">
        <v>0.363636</v>
      </c>
      <c r="R31" s="4">
        <v>5.0</v>
      </c>
      <c r="S31" s="5">
        <v>950.0</v>
      </c>
      <c r="T31" s="4">
        <v>0.333333</v>
      </c>
      <c r="U31" s="14">
        <v>15.000015000015</v>
      </c>
      <c r="V31" s="5">
        <v>940.0</v>
      </c>
      <c r="W31" s="5">
        <v>235.0</v>
      </c>
      <c r="X31" s="5">
        <v>1214.954</v>
      </c>
      <c r="Y31" s="5">
        <v>303.7385</v>
      </c>
      <c r="Z31" s="5">
        <v>274.954</v>
      </c>
      <c r="AA31" s="5">
        <v>68.7385</v>
      </c>
      <c r="AB31" s="19">
        <v>0.2263081565228</v>
      </c>
      <c r="AC31" s="4">
        <v>4.0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760.0</v>
      </c>
      <c r="AK31" s="5">
        <v>190.0</v>
      </c>
      <c r="AL31" s="5">
        <v>1261.683</v>
      </c>
      <c r="AM31" s="5">
        <v>315.42075</v>
      </c>
      <c r="AN31" s="5">
        <v>501.683</v>
      </c>
      <c r="AO31" s="5">
        <v>125.42075</v>
      </c>
      <c r="AP31" s="8">
        <v>0.39762999105163</v>
      </c>
      <c r="AQ31" s="4">
        <v>4.0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52</v>
      </c>
      <c r="E32" s="4">
        <v>180.0</v>
      </c>
      <c r="F32" s="5">
        <v>6300.0</v>
      </c>
      <c r="G32" s="4">
        <v>50.0</v>
      </c>
      <c r="H32" s="5">
        <v>1750.0</v>
      </c>
      <c r="I32" s="4">
        <v>80.0</v>
      </c>
      <c r="J32" s="5">
        <v>2800.0</v>
      </c>
      <c r="K32" s="4">
        <v>115.818178</v>
      </c>
      <c r="L32" s="5">
        <v>4053.63623</v>
      </c>
      <c r="M32" s="6">
        <v>0.30926214363345</v>
      </c>
      <c r="N32" s="4">
        <v>114.0</v>
      </c>
      <c r="O32" s="4">
        <v>10.363636</v>
      </c>
      <c r="P32" s="4">
        <v>91.0</v>
      </c>
      <c r="Q32" s="4">
        <v>8.272727</v>
      </c>
      <c r="R32" s="4">
        <v>74.0</v>
      </c>
      <c r="S32" s="5">
        <v>2590.0</v>
      </c>
      <c r="T32" s="4">
        <v>7.583333</v>
      </c>
      <c r="U32" s="14">
        <v>9.7582421871755</v>
      </c>
      <c r="V32" s="5">
        <v>3990.0</v>
      </c>
      <c r="W32" s="5">
        <v>35.0</v>
      </c>
      <c r="X32" s="5">
        <v>10306.281</v>
      </c>
      <c r="Y32" s="5">
        <v>90.405973684211</v>
      </c>
      <c r="Z32" s="5">
        <v>6316.281</v>
      </c>
      <c r="AA32" s="5">
        <v>55.405973684211</v>
      </c>
      <c r="AB32" s="8">
        <v>0.61285744101097</v>
      </c>
      <c r="AC32" s="4">
        <v>114.0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3185.0</v>
      </c>
      <c r="AK32" s="5">
        <v>35.0</v>
      </c>
      <c r="AL32" s="5">
        <v>8659.359</v>
      </c>
      <c r="AM32" s="5">
        <v>95.157791208791</v>
      </c>
      <c r="AN32" s="5">
        <v>5474.359</v>
      </c>
      <c r="AO32" s="5">
        <v>60.157791208791</v>
      </c>
      <c r="AP32" s="8">
        <v>0.63218986532375</v>
      </c>
      <c r="AQ32" s="4">
        <v>91.0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66</v>
      </c>
      <c r="E33" s="9">
        <v>0</v>
      </c>
      <c r="F33" s="9">
        <v>0</v>
      </c>
      <c r="G33" s="4">
        <v>11.0</v>
      </c>
      <c r="H33" s="5">
        <v>1529.0</v>
      </c>
      <c r="I33" s="9">
        <v>0</v>
      </c>
      <c r="J33" s="9">
        <v>0</v>
      </c>
      <c r="K33" s="9">
        <v>0</v>
      </c>
      <c r="L33" s="9">
        <v>0</v>
      </c>
      <c r="M33" s="11">
        <v>0</v>
      </c>
      <c r="N33" s="4">
        <v>9.0</v>
      </c>
      <c r="O33" s="4">
        <v>0.818181</v>
      </c>
      <c r="P33" s="9">
        <v>0</v>
      </c>
      <c r="Q33" s="9">
        <v>0</v>
      </c>
      <c r="R33" s="4">
        <v>4.0</v>
      </c>
      <c r="S33" s="5">
        <v>556.0</v>
      </c>
      <c r="T33" s="9">
        <v>0</v>
      </c>
      <c r="U33" s="12" t="s">
        <v>49</v>
      </c>
      <c r="V33" s="5">
        <v>1251.0</v>
      </c>
      <c r="W33" s="5">
        <v>139.0</v>
      </c>
      <c r="X33" s="5">
        <v>2102.815</v>
      </c>
      <c r="Y33" s="5">
        <v>233.64611111111</v>
      </c>
      <c r="Z33" s="5">
        <v>851.815</v>
      </c>
      <c r="AA33" s="5">
        <v>94.646111111111</v>
      </c>
      <c r="AB33" s="8">
        <v>0.40508318611005</v>
      </c>
      <c r="AC33" s="4">
        <v>9.0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48</v>
      </c>
      <c r="E34" s="9">
        <v>0</v>
      </c>
      <c r="F34" s="9">
        <v>0</v>
      </c>
      <c r="G34" s="4">
        <v>7.0</v>
      </c>
      <c r="H34" s="5">
        <v>1330.0</v>
      </c>
      <c r="I34" s="9">
        <v>0</v>
      </c>
      <c r="J34" s="9">
        <v>0</v>
      </c>
      <c r="K34" s="4">
        <v>1.272726</v>
      </c>
      <c r="L34" s="5">
        <v>241.81794</v>
      </c>
      <c r="M34" s="6">
        <v>1.0</v>
      </c>
      <c r="N34" s="4">
        <v>5.0</v>
      </c>
      <c r="O34" s="4">
        <v>0.454545</v>
      </c>
      <c r="P34" s="4">
        <v>1.0</v>
      </c>
      <c r="Q34" s="4">
        <v>0.090909</v>
      </c>
      <c r="R34" s="4">
        <v>30.0</v>
      </c>
      <c r="S34" s="5">
        <v>5700.0</v>
      </c>
      <c r="T34" s="4">
        <v>0.083333</v>
      </c>
      <c r="U34" s="14">
        <v>360.00144000576</v>
      </c>
      <c r="V34" s="5">
        <v>950.0</v>
      </c>
      <c r="W34" s="5">
        <v>190.0</v>
      </c>
      <c r="X34" s="5">
        <v>2132.244</v>
      </c>
      <c r="Y34" s="5">
        <v>426.4488</v>
      </c>
      <c r="Z34" s="5">
        <v>1182.244</v>
      </c>
      <c r="AA34" s="5">
        <v>236.4488</v>
      </c>
      <c r="AB34" s="8">
        <v>0.55445999613553</v>
      </c>
      <c r="AC34" s="4">
        <v>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190.0</v>
      </c>
      <c r="AK34" s="5">
        <v>190.0</v>
      </c>
      <c r="AL34" s="5">
        <v>373.832</v>
      </c>
      <c r="AM34" s="5">
        <v>373.832</v>
      </c>
      <c r="AN34" s="5">
        <v>183.832</v>
      </c>
      <c r="AO34" s="5">
        <v>183.832</v>
      </c>
      <c r="AP34" s="8">
        <v>0.49175030494982</v>
      </c>
      <c r="AQ34" s="4">
        <v>1.0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48</v>
      </c>
      <c r="E35" s="4">
        <v>11.0</v>
      </c>
      <c r="F35" s="5">
        <v>7029.0</v>
      </c>
      <c r="G35" s="4">
        <v>2.0</v>
      </c>
      <c r="H35" s="5">
        <v>1278.0</v>
      </c>
      <c r="I35" s="9">
        <v>0</v>
      </c>
      <c r="J35" s="9">
        <v>0</v>
      </c>
      <c r="K35" s="4">
        <v>5.090904</v>
      </c>
      <c r="L35" s="5">
        <v>3253.087656</v>
      </c>
      <c r="M35" s="6">
        <v>1.0</v>
      </c>
      <c r="N35" s="9">
        <v>0</v>
      </c>
      <c r="O35" s="9">
        <v>0</v>
      </c>
      <c r="P35" s="4">
        <v>4.0</v>
      </c>
      <c r="Q35" s="4">
        <v>0.363636</v>
      </c>
      <c r="R35" s="4">
        <v>3.0</v>
      </c>
      <c r="S35" s="5">
        <v>1917.0</v>
      </c>
      <c r="T35" s="4">
        <v>0.333333</v>
      </c>
      <c r="U35" s="14">
        <v>9.000009000009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2556.0</v>
      </c>
      <c r="AK35" s="5">
        <v>639.0</v>
      </c>
      <c r="AL35" s="5">
        <v>4948.605</v>
      </c>
      <c r="AM35" s="5">
        <v>1237.15125</v>
      </c>
      <c r="AN35" s="5">
        <v>2392.605</v>
      </c>
      <c r="AO35" s="5">
        <v>598.15125</v>
      </c>
      <c r="AP35" s="8">
        <v>0.48349080195328</v>
      </c>
      <c r="AQ35" s="4">
        <v>4.0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48</v>
      </c>
      <c r="E36" s="9">
        <v>0</v>
      </c>
      <c r="F36" s="9">
        <v>0</v>
      </c>
      <c r="G36" s="4">
        <v>6.0</v>
      </c>
      <c r="H36" s="5">
        <v>1140.0</v>
      </c>
      <c r="I36" s="9">
        <v>0</v>
      </c>
      <c r="J36" s="9">
        <v>0</v>
      </c>
      <c r="K36" s="4">
        <v>3.818178</v>
      </c>
      <c r="L36" s="5">
        <v>725.45382</v>
      </c>
      <c r="M36" s="6">
        <v>1.0</v>
      </c>
      <c r="N36" s="4">
        <v>2.0</v>
      </c>
      <c r="O36" s="4">
        <v>0.181818</v>
      </c>
      <c r="P36" s="4">
        <v>3.0</v>
      </c>
      <c r="Q36" s="4">
        <v>0.272727</v>
      </c>
      <c r="R36" s="4">
        <v>1.0</v>
      </c>
      <c r="S36" s="5">
        <v>190.0</v>
      </c>
      <c r="T36" s="4">
        <v>0.25</v>
      </c>
      <c r="U36" s="7">
        <v>4.0</v>
      </c>
      <c r="V36" s="5">
        <v>380.0</v>
      </c>
      <c r="W36" s="5">
        <v>190.0</v>
      </c>
      <c r="X36" s="5">
        <v>654.206</v>
      </c>
      <c r="Y36" s="5">
        <v>327.103</v>
      </c>
      <c r="Z36" s="5">
        <v>274.206</v>
      </c>
      <c r="AA36" s="5">
        <v>137.103</v>
      </c>
      <c r="AB36" s="8">
        <v>0.41914320565693</v>
      </c>
      <c r="AC36" s="4">
        <v>2.0</v>
      </c>
      <c r="AD36" s="4">
        <v>1.0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570.0</v>
      </c>
      <c r="AK36" s="5">
        <v>190.0</v>
      </c>
      <c r="AL36" s="5">
        <v>841.13</v>
      </c>
      <c r="AM36" s="5">
        <v>280.37666666667</v>
      </c>
      <c r="AN36" s="5">
        <v>271.13</v>
      </c>
      <c r="AO36" s="5">
        <v>90.376666666667</v>
      </c>
      <c r="AP36" s="8">
        <v>0.32234018522702</v>
      </c>
      <c r="AQ36" s="4">
        <v>3.0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48</v>
      </c>
      <c r="E37" s="4">
        <v>90.0</v>
      </c>
      <c r="F37" s="5">
        <v>1750.0</v>
      </c>
      <c r="G37" s="4">
        <v>30.0</v>
      </c>
      <c r="H37" s="5">
        <v>750.0</v>
      </c>
      <c r="I37" s="9">
        <v>0</v>
      </c>
      <c r="J37" s="9">
        <v>0</v>
      </c>
      <c r="K37" s="4">
        <v>12.72726</v>
      </c>
      <c r="L37" s="5">
        <v>318.1815</v>
      </c>
      <c r="M37" s="6">
        <v>1.0</v>
      </c>
      <c r="N37" s="4">
        <v>31.0</v>
      </c>
      <c r="O37" s="4">
        <v>2.818181</v>
      </c>
      <c r="P37" s="4">
        <v>10.0</v>
      </c>
      <c r="Q37" s="4">
        <v>0.90909</v>
      </c>
      <c r="R37" s="4">
        <v>5.0</v>
      </c>
      <c r="S37" s="5">
        <v>125.0</v>
      </c>
      <c r="T37" s="4">
        <v>0.833333</v>
      </c>
      <c r="U37" s="14">
        <v>6.000002400001</v>
      </c>
      <c r="V37" s="5">
        <v>625.0</v>
      </c>
      <c r="W37" s="5">
        <v>20.161290322581</v>
      </c>
      <c r="X37" s="5">
        <v>1792.519</v>
      </c>
      <c r="Y37" s="5">
        <v>57.823193548387</v>
      </c>
      <c r="Z37" s="5">
        <v>1167.519</v>
      </c>
      <c r="AA37" s="5">
        <v>37.661903225806</v>
      </c>
      <c r="AB37" s="8">
        <v>0.65132866095143</v>
      </c>
      <c r="AC37" s="4">
        <v>31.0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166.673</v>
      </c>
      <c r="AK37" s="5">
        <v>16.6673</v>
      </c>
      <c r="AL37" s="5">
        <v>547.687</v>
      </c>
      <c r="AM37" s="5">
        <v>54.7687</v>
      </c>
      <c r="AN37" s="5">
        <v>381.014</v>
      </c>
      <c r="AO37" s="5">
        <v>38.1014</v>
      </c>
      <c r="AP37" s="8">
        <v>0.69567837104039</v>
      </c>
      <c r="AQ37" s="4">
        <v>10.0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48</v>
      </c>
      <c r="E38" s="4">
        <v>10.0</v>
      </c>
      <c r="F38" s="5">
        <v>590.0</v>
      </c>
      <c r="G38" s="4">
        <v>5.0</v>
      </c>
      <c r="H38" s="5">
        <v>695.0</v>
      </c>
      <c r="I38" s="9">
        <v>0</v>
      </c>
      <c r="J38" s="9">
        <v>0</v>
      </c>
      <c r="K38" s="4">
        <v>12.72726</v>
      </c>
      <c r="L38" s="5">
        <v>1769.08914</v>
      </c>
      <c r="M38" s="6">
        <v>1.0</v>
      </c>
      <c r="N38" s="4">
        <v>7.0</v>
      </c>
      <c r="O38" s="4">
        <v>0.636363</v>
      </c>
      <c r="P38" s="4">
        <v>10.0</v>
      </c>
      <c r="Q38" s="4">
        <v>0.90909</v>
      </c>
      <c r="R38" s="4">
        <v>2.0</v>
      </c>
      <c r="S38" s="5">
        <v>278.0</v>
      </c>
      <c r="T38" s="4">
        <v>0.833333</v>
      </c>
      <c r="U38" s="7">
        <v>2.4000009600004</v>
      </c>
      <c r="V38" s="5">
        <v>573.001</v>
      </c>
      <c r="W38" s="5">
        <v>81.857285714286</v>
      </c>
      <c r="X38" s="5">
        <v>1710.279</v>
      </c>
      <c r="Y38" s="5">
        <v>244.32557142857</v>
      </c>
      <c r="Z38" s="5">
        <v>1137.278</v>
      </c>
      <c r="AA38" s="5">
        <v>162.46828571429</v>
      </c>
      <c r="AB38" s="8">
        <v>0.66496635928992</v>
      </c>
      <c r="AC38" s="4">
        <v>7.0</v>
      </c>
      <c r="AD38" s="4">
        <v>2.0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1270.0</v>
      </c>
      <c r="AK38" s="5">
        <v>127.0</v>
      </c>
      <c r="AL38" s="5">
        <v>2327.116</v>
      </c>
      <c r="AM38" s="5">
        <v>232.7116</v>
      </c>
      <c r="AN38" s="5">
        <v>1057.116</v>
      </c>
      <c r="AO38" s="5">
        <v>105.7116</v>
      </c>
      <c r="AP38" s="8">
        <v>0.45426012283015</v>
      </c>
      <c r="AQ38" s="4">
        <v>10.0</v>
      </c>
      <c r="AR38" s="4">
        <v>4.0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48</v>
      </c>
      <c r="E39" s="9">
        <v>0</v>
      </c>
      <c r="F39" s="9">
        <v>0</v>
      </c>
      <c r="G39" s="4">
        <v>5.0</v>
      </c>
      <c r="H39" s="5">
        <v>625.0</v>
      </c>
      <c r="I39" s="9">
        <v>0</v>
      </c>
      <c r="J39" s="9">
        <v>0</v>
      </c>
      <c r="K39" s="9">
        <v>0</v>
      </c>
      <c r="L39" s="9">
        <v>0</v>
      </c>
      <c r="M39" s="11">
        <v>0</v>
      </c>
      <c r="N39" s="9">
        <v>0</v>
      </c>
      <c r="O39" s="9">
        <v>0</v>
      </c>
      <c r="P39" s="9">
        <v>0</v>
      </c>
      <c r="Q39" s="9">
        <v>0</v>
      </c>
      <c r="R39" s="4">
        <v>5.0</v>
      </c>
      <c r="S39" s="5">
        <v>625.0</v>
      </c>
      <c r="T39" s="9">
        <v>0</v>
      </c>
      <c r="U39" s="12" t="s">
        <v>49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52</v>
      </c>
      <c r="E40" s="9">
        <v>0</v>
      </c>
      <c r="F40" s="9">
        <v>0</v>
      </c>
      <c r="G40" s="4">
        <v>25.0</v>
      </c>
      <c r="H40" s="5">
        <v>550.0</v>
      </c>
      <c r="I40" s="4">
        <v>20.0</v>
      </c>
      <c r="J40" s="5">
        <v>440.0</v>
      </c>
      <c r="K40" s="4">
        <v>35.636356</v>
      </c>
      <c r="L40" s="5">
        <v>783.999832</v>
      </c>
      <c r="M40" s="6">
        <v>0.43877538994167</v>
      </c>
      <c r="N40" s="4">
        <v>22.0</v>
      </c>
      <c r="O40" s="4">
        <v>2.0</v>
      </c>
      <c r="P40" s="4">
        <v>28.0</v>
      </c>
      <c r="Q40" s="4">
        <v>2.545454</v>
      </c>
      <c r="R40" s="4">
        <v>20.0</v>
      </c>
      <c r="S40" s="5">
        <v>440.0</v>
      </c>
      <c r="T40" s="4">
        <v>2.333333</v>
      </c>
      <c r="U40" s="14">
        <v>8.5714297959185</v>
      </c>
      <c r="V40" s="5">
        <v>484.0</v>
      </c>
      <c r="W40" s="5">
        <v>22.0</v>
      </c>
      <c r="X40" s="5">
        <v>1331.088</v>
      </c>
      <c r="Y40" s="5">
        <v>60.504</v>
      </c>
      <c r="Z40" s="5">
        <v>847.088</v>
      </c>
      <c r="AA40" s="5">
        <v>38.504</v>
      </c>
      <c r="AB40" s="8">
        <v>0.63638767684781</v>
      </c>
      <c r="AC40" s="4">
        <v>22.0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616.0</v>
      </c>
      <c r="AK40" s="5">
        <v>22.0</v>
      </c>
      <c r="AL40" s="5">
        <v>2266.168</v>
      </c>
      <c r="AM40" s="5">
        <v>80.934571428571</v>
      </c>
      <c r="AN40" s="5">
        <v>1650.168</v>
      </c>
      <c r="AO40" s="5">
        <v>58.934571428571</v>
      </c>
      <c r="AP40" s="8">
        <v>0.72817549272605</v>
      </c>
      <c r="AQ40" s="4">
        <v>28.0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52</v>
      </c>
      <c r="E41" s="4">
        <v>20.0</v>
      </c>
      <c r="F41" s="5">
        <v>1020.0</v>
      </c>
      <c r="G41" s="4">
        <v>10.0</v>
      </c>
      <c r="H41" s="5">
        <v>510.0</v>
      </c>
      <c r="I41" s="4">
        <v>40.0</v>
      </c>
      <c r="J41" s="5">
        <v>2040.0</v>
      </c>
      <c r="K41" s="4">
        <v>48.36363</v>
      </c>
      <c r="L41" s="5">
        <v>2466.54513</v>
      </c>
      <c r="M41" s="6">
        <v>0.17293222200236</v>
      </c>
      <c r="N41" s="4">
        <v>7.0</v>
      </c>
      <c r="O41" s="4">
        <v>0.636363</v>
      </c>
      <c r="P41" s="4">
        <v>38.0</v>
      </c>
      <c r="Q41" s="4">
        <v>3.454545</v>
      </c>
      <c r="R41" s="4">
        <v>29.0</v>
      </c>
      <c r="S41" s="5">
        <v>1479.0</v>
      </c>
      <c r="T41" s="4">
        <v>3.166666</v>
      </c>
      <c r="U41" s="14">
        <v>9.1578966648203</v>
      </c>
      <c r="V41" s="5">
        <v>357.0</v>
      </c>
      <c r="W41" s="5">
        <v>51.0</v>
      </c>
      <c r="X41" s="5">
        <v>560.75</v>
      </c>
      <c r="Y41" s="5">
        <v>80.107142857143</v>
      </c>
      <c r="Z41" s="5">
        <v>203.75</v>
      </c>
      <c r="AA41" s="5">
        <v>29.107142857143</v>
      </c>
      <c r="AB41" s="8">
        <v>0.36335265269728</v>
      </c>
      <c r="AC41" s="4">
        <v>7.0</v>
      </c>
      <c r="AD41" s="4">
        <v>1.0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1938.0</v>
      </c>
      <c r="AK41" s="5">
        <v>51.0</v>
      </c>
      <c r="AL41" s="5">
        <v>4871.781</v>
      </c>
      <c r="AM41" s="5">
        <v>128.20476315789</v>
      </c>
      <c r="AN41" s="5">
        <v>2933.781</v>
      </c>
      <c r="AO41" s="5">
        <v>77.204763157895</v>
      </c>
      <c r="AP41" s="8">
        <v>0.60219886731362</v>
      </c>
      <c r="AQ41" s="4">
        <v>38.0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48</v>
      </c>
      <c r="E42" s="9">
        <v>0</v>
      </c>
      <c r="F42" s="9">
        <v>0</v>
      </c>
      <c r="G42" s="4">
        <v>5.0</v>
      </c>
      <c r="H42" s="5">
        <v>475.0</v>
      </c>
      <c r="I42" s="9">
        <v>0</v>
      </c>
      <c r="J42" s="9">
        <v>0</v>
      </c>
      <c r="K42" s="9">
        <v>0</v>
      </c>
      <c r="L42" s="9">
        <v>0</v>
      </c>
      <c r="M42" s="11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5">
        <v>475.0</v>
      </c>
      <c r="T42" s="9">
        <v>0</v>
      </c>
      <c r="U42" s="12" t="s">
        <v>49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52</v>
      </c>
      <c r="E43" s="4">
        <v>230.0</v>
      </c>
      <c r="F43" s="5">
        <v>2530.0</v>
      </c>
      <c r="G43" s="4">
        <v>40.0</v>
      </c>
      <c r="H43" s="5">
        <v>440.0</v>
      </c>
      <c r="I43" s="4">
        <v>150.0</v>
      </c>
      <c r="J43" s="5">
        <v>1650.0</v>
      </c>
      <c r="K43" s="4">
        <v>113.272726</v>
      </c>
      <c r="L43" s="5">
        <v>1245.999986</v>
      </c>
      <c r="M43" s="13">
        <v>-0.32423757507169</v>
      </c>
      <c r="N43" s="4">
        <v>147.0</v>
      </c>
      <c r="O43" s="4">
        <v>13.363636</v>
      </c>
      <c r="P43" s="4">
        <v>89.0</v>
      </c>
      <c r="Q43" s="4">
        <v>8.090909</v>
      </c>
      <c r="R43" s="4">
        <v>68.0</v>
      </c>
      <c r="S43" s="5">
        <v>748.0</v>
      </c>
      <c r="T43" s="4">
        <v>7.416666</v>
      </c>
      <c r="U43" s="14">
        <v>9.1685401499811</v>
      </c>
      <c r="V43" s="5">
        <v>1617.0</v>
      </c>
      <c r="W43" s="5">
        <v>11.0</v>
      </c>
      <c r="X43" s="5">
        <v>7387.931</v>
      </c>
      <c r="Y43" s="5">
        <v>50.258034013605</v>
      </c>
      <c r="Z43" s="5">
        <v>5770.931</v>
      </c>
      <c r="AA43" s="5">
        <v>39.258034013605</v>
      </c>
      <c r="AB43" s="8">
        <v>0.78112952056537</v>
      </c>
      <c r="AC43" s="4">
        <v>147.0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979.0</v>
      </c>
      <c r="AK43" s="5">
        <v>11.0</v>
      </c>
      <c r="AL43" s="5">
        <v>4334.533</v>
      </c>
      <c r="AM43" s="5">
        <v>48.702617977528</v>
      </c>
      <c r="AN43" s="5">
        <v>3355.533</v>
      </c>
      <c r="AO43" s="5">
        <v>37.702617977528</v>
      </c>
      <c r="AP43" s="8">
        <v>0.77413945170103</v>
      </c>
      <c r="AQ43" s="4">
        <v>89.0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48</v>
      </c>
      <c r="E44" s="9">
        <v>0</v>
      </c>
      <c r="F44" s="9">
        <v>0</v>
      </c>
      <c r="G44" s="4">
        <v>4.0</v>
      </c>
      <c r="H44" s="5">
        <v>420.0</v>
      </c>
      <c r="I44" s="9">
        <v>0</v>
      </c>
      <c r="J44" s="9">
        <v>0</v>
      </c>
      <c r="K44" s="9">
        <v>0</v>
      </c>
      <c r="L44" s="9">
        <v>0</v>
      </c>
      <c r="M44" s="11">
        <v>0</v>
      </c>
      <c r="N44" s="4">
        <v>4.0</v>
      </c>
      <c r="O44" s="4">
        <v>0.363636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2" t="s">
        <v>49</v>
      </c>
      <c r="V44" s="5">
        <v>420.0</v>
      </c>
      <c r="W44" s="5">
        <v>105.0</v>
      </c>
      <c r="X44" s="5">
        <v>1308.412</v>
      </c>
      <c r="Y44" s="5">
        <v>327.103</v>
      </c>
      <c r="Z44" s="5">
        <v>888.412</v>
      </c>
      <c r="AA44" s="5">
        <v>222.103</v>
      </c>
      <c r="AB44" s="8">
        <v>0.67900019259988</v>
      </c>
      <c r="AC44" s="4">
        <v>4.0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48</v>
      </c>
      <c r="E45" s="4">
        <v>15.0</v>
      </c>
      <c r="F45" s="5">
        <v>300.0</v>
      </c>
      <c r="G45" s="4">
        <v>10.0</v>
      </c>
      <c r="H45" s="5">
        <v>300.0</v>
      </c>
      <c r="I45" s="9">
        <v>0</v>
      </c>
      <c r="J45" s="9">
        <v>0</v>
      </c>
      <c r="K45" s="4">
        <v>3.818178</v>
      </c>
      <c r="L45" s="5">
        <v>114.54534</v>
      </c>
      <c r="M45" s="6">
        <v>1.0</v>
      </c>
      <c r="N45" s="4">
        <v>5.0</v>
      </c>
      <c r="O45" s="4">
        <v>0.454545</v>
      </c>
      <c r="P45" s="4">
        <v>3.0</v>
      </c>
      <c r="Q45" s="4">
        <v>0.272727</v>
      </c>
      <c r="R45" s="9">
        <v>0</v>
      </c>
      <c r="S45" s="9">
        <v>0</v>
      </c>
      <c r="T45" s="4">
        <v>0.25</v>
      </c>
      <c r="U45" s="12" t="s">
        <v>49</v>
      </c>
      <c r="V45" s="5">
        <v>120.0</v>
      </c>
      <c r="W45" s="5">
        <v>24.0</v>
      </c>
      <c r="X45" s="5">
        <v>607.477</v>
      </c>
      <c r="Y45" s="5">
        <v>121.4954</v>
      </c>
      <c r="Z45" s="5">
        <v>487.477</v>
      </c>
      <c r="AA45" s="5">
        <v>97.4954</v>
      </c>
      <c r="AB45" s="8">
        <v>0.80246165698454</v>
      </c>
      <c r="AC45" s="4">
        <v>5.0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90.0</v>
      </c>
      <c r="AK45" s="5">
        <v>30.0</v>
      </c>
      <c r="AL45" s="5">
        <v>233.645</v>
      </c>
      <c r="AM45" s="5">
        <v>77.881666666667</v>
      </c>
      <c r="AN45" s="5">
        <v>143.645</v>
      </c>
      <c r="AO45" s="5">
        <v>47.881666666667</v>
      </c>
      <c r="AP45" s="8">
        <v>0.61480023111986</v>
      </c>
      <c r="AQ45" s="4">
        <v>3.0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52</v>
      </c>
      <c r="E46" s="4">
        <v>30.0</v>
      </c>
      <c r="F46" s="5">
        <v>870.0</v>
      </c>
      <c r="G46" s="4">
        <v>10.0</v>
      </c>
      <c r="H46" s="5">
        <v>290.0</v>
      </c>
      <c r="I46" s="9">
        <v>0</v>
      </c>
      <c r="J46" s="9">
        <v>0</v>
      </c>
      <c r="K46" s="9">
        <v>0</v>
      </c>
      <c r="L46" s="9">
        <v>0</v>
      </c>
      <c r="M46" s="11">
        <v>0</v>
      </c>
      <c r="N46" s="4">
        <v>32.0</v>
      </c>
      <c r="O46" s="4">
        <v>2.90909</v>
      </c>
      <c r="P46" s="9">
        <v>0</v>
      </c>
      <c r="Q46" s="9">
        <v>0</v>
      </c>
      <c r="R46" s="4">
        <v>19.0</v>
      </c>
      <c r="S46" s="5">
        <v>551.0</v>
      </c>
      <c r="T46" s="9">
        <v>0</v>
      </c>
      <c r="U46" s="12" t="s">
        <v>49</v>
      </c>
      <c r="V46" s="5">
        <v>928.0</v>
      </c>
      <c r="W46" s="5">
        <v>29.0</v>
      </c>
      <c r="X46" s="5">
        <v>2428.338</v>
      </c>
      <c r="Y46" s="5">
        <v>75.8855625</v>
      </c>
      <c r="Z46" s="5">
        <v>1500.338</v>
      </c>
      <c r="AA46" s="5">
        <v>46.8855625</v>
      </c>
      <c r="AB46" s="8">
        <v>0.61784562116147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48</v>
      </c>
      <c r="E47" s="9">
        <v>0</v>
      </c>
      <c r="F47" s="9">
        <v>0</v>
      </c>
      <c r="G47" s="4">
        <v>5.0</v>
      </c>
      <c r="H47" s="5">
        <v>145.0</v>
      </c>
      <c r="I47" s="9">
        <v>0</v>
      </c>
      <c r="J47" s="9">
        <v>0</v>
      </c>
      <c r="K47" s="9">
        <v>0</v>
      </c>
      <c r="L47" s="9">
        <v>0</v>
      </c>
      <c r="M47" s="11">
        <v>0</v>
      </c>
      <c r="N47" s="9">
        <v>0</v>
      </c>
      <c r="O47" s="9">
        <v>0</v>
      </c>
      <c r="P47" s="9">
        <v>0</v>
      </c>
      <c r="Q47" s="9">
        <v>0</v>
      </c>
      <c r="R47" s="4">
        <v>4.0</v>
      </c>
      <c r="S47" s="5">
        <v>116.0</v>
      </c>
      <c r="T47" s="9">
        <v>0</v>
      </c>
      <c r="U47" s="12" t="s">
        <v>49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48</v>
      </c>
      <c r="E48" s="9">
        <v>0</v>
      </c>
      <c r="F48" s="9">
        <v>0</v>
      </c>
      <c r="G48" s="4">
        <v>10.0</v>
      </c>
      <c r="H48" s="5">
        <v>100.0</v>
      </c>
      <c r="I48" s="9">
        <v>0</v>
      </c>
      <c r="J48" s="9">
        <v>0</v>
      </c>
      <c r="K48" s="9">
        <v>0</v>
      </c>
      <c r="L48" s="9">
        <v>0</v>
      </c>
      <c r="M48" s="11">
        <v>0</v>
      </c>
      <c r="N48" s="9">
        <v>0</v>
      </c>
      <c r="O48" s="9">
        <v>0</v>
      </c>
      <c r="P48" s="9">
        <v>0</v>
      </c>
      <c r="Q48" s="9">
        <v>0</v>
      </c>
      <c r="R48" s="4">
        <v>10.0</v>
      </c>
      <c r="S48" s="5">
        <v>100.0</v>
      </c>
      <c r="T48" s="9">
        <v>0</v>
      </c>
      <c r="U48" s="12" t="s">
        <v>49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48</v>
      </c>
      <c r="E49" s="9">
        <v>0</v>
      </c>
      <c r="F49" s="9">
        <v>0</v>
      </c>
      <c r="G49" s="4">
        <v>2.0</v>
      </c>
      <c r="H49" s="5">
        <v>100.0</v>
      </c>
      <c r="I49" s="9">
        <v>0</v>
      </c>
      <c r="J49" s="9">
        <v>0</v>
      </c>
      <c r="K49" s="9">
        <v>0</v>
      </c>
      <c r="L49" s="9">
        <v>0</v>
      </c>
      <c r="M49" s="11">
        <v>0</v>
      </c>
      <c r="N49" s="4">
        <v>2.0</v>
      </c>
      <c r="O49" s="4">
        <v>0.181818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2" t="s">
        <v>49</v>
      </c>
      <c r="V49" s="5">
        <v>100.0</v>
      </c>
      <c r="W49" s="5">
        <v>50.0</v>
      </c>
      <c r="X49" s="5">
        <v>224.3</v>
      </c>
      <c r="Y49" s="5">
        <v>112.15</v>
      </c>
      <c r="Z49" s="5">
        <v>124.3</v>
      </c>
      <c r="AA49" s="5">
        <v>62.15</v>
      </c>
      <c r="AB49" s="8">
        <v>0.55416852429782</v>
      </c>
      <c r="AC49" s="4">
        <v>2.0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48</v>
      </c>
      <c r="E50" s="9">
        <v>0</v>
      </c>
      <c r="F50" s="9">
        <v>0</v>
      </c>
      <c r="G50" s="4">
        <v>20.0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1">
        <v>0</v>
      </c>
      <c r="N50" s="9">
        <v>0</v>
      </c>
      <c r="O50" s="9">
        <v>0</v>
      </c>
      <c r="P50" s="9">
        <v>0</v>
      </c>
      <c r="Q50" s="9">
        <v>0</v>
      </c>
      <c r="R50" s="4">
        <v>5.0</v>
      </c>
      <c r="S50" s="9">
        <v>0</v>
      </c>
      <c r="T50" s="9">
        <v>0</v>
      </c>
      <c r="U50" s="12" t="s">
        <v>49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52</v>
      </c>
      <c r="E51" s="4">
        <v>2000.0</v>
      </c>
      <c r="F51" s="5">
        <v>59000.0</v>
      </c>
      <c r="G51" s="9">
        <v>0</v>
      </c>
      <c r="H51" s="9">
        <v>0</v>
      </c>
      <c r="I51" s="9">
        <v>0</v>
      </c>
      <c r="J51" s="9">
        <v>0</v>
      </c>
      <c r="K51" s="4">
        <v>908.72726</v>
      </c>
      <c r="L51" s="5">
        <v>26807.45417</v>
      </c>
      <c r="M51" s="6">
        <v>1.0</v>
      </c>
      <c r="N51" s="4">
        <v>314.0</v>
      </c>
      <c r="O51" s="4">
        <v>28.545454</v>
      </c>
      <c r="P51" s="4">
        <v>720.0</v>
      </c>
      <c r="Q51" s="4">
        <v>64.90909</v>
      </c>
      <c r="R51" s="4">
        <v>1001.0</v>
      </c>
      <c r="S51" s="5">
        <v>29529.5</v>
      </c>
      <c r="T51" s="4">
        <v>60.0</v>
      </c>
      <c r="U51" s="14">
        <v>16.683333333333</v>
      </c>
      <c r="V51" s="5">
        <v>8879.0</v>
      </c>
      <c r="W51" s="5">
        <v>28.277070063694</v>
      </c>
      <c r="X51" s="5">
        <v>14643.648</v>
      </c>
      <c r="Y51" s="5">
        <v>46.635821656051</v>
      </c>
      <c r="Z51" s="5">
        <v>5764.648</v>
      </c>
      <c r="AA51" s="5">
        <v>18.358751592357</v>
      </c>
      <c r="AB51" s="8">
        <v>0.39366201645929</v>
      </c>
      <c r="AC51" s="4">
        <v>314.0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25276.17</v>
      </c>
      <c r="AK51" s="5">
        <v>35.105791666667</v>
      </c>
      <c r="AL51" s="5">
        <v>38499.886</v>
      </c>
      <c r="AM51" s="5">
        <v>53.472063888889</v>
      </c>
      <c r="AN51" s="5">
        <v>13223.716</v>
      </c>
      <c r="AO51" s="5">
        <v>18.366272222222</v>
      </c>
      <c r="AP51" s="8">
        <v>0.34347415989751</v>
      </c>
      <c r="AQ51" s="4">
        <v>720.0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48</v>
      </c>
      <c r="E52" s="4">
        <v>131.0</v>
      </c>
      <c r="F52" s="5">
        <v>11659.0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1">
        <v>0</v>
      </c>
      <c r="N52" s="4">
        <v>37.0</v>
      </c>
      <c r="O52" s="4">
        <v>3.363636</v>
      </c>
      <c r="P52" s="4">
        <v>-9.0</v>
      </c>
      <c r="Q52" s="9">
        <v>0</v>
      </c>
      <c r="R52" s="4">
        <v>94.0</v>
      </c>
      <c r="S52" s="5">
        <v>8366.0</v>
      </c>
      <c r="T52" s="4">
        <v>-0.75</v>
      </c>
      <c r="U52" s="12" t="s">
        <v>49</v>
      </c>
      <c r="V52" s="5">
        <v>3293.0</v>
      </c>
      <c r="W52" s="5">
        <v>89.0</v>
      </c>
      <c r="X52" s="5">
        <v>6224.317</v>
      </c>
      <c r="Y52" s="5">
        <v>168.22478378378</v>
      </c>
      <c r="Z52" s="5">
        <v>2931.317</v>
      </c>
      <c r="AA52" s="5">
        <v>79.224783783784</v>
      </c>
      <c r="AB52" s="8">
        <v>0.47094596885088</v>
      </c>
      <c r="AC52" s="4">
        <v>37.0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-629.01</v>
      </c>
      <c r="AK52" s="9">
        <v>0</v>
      </c>
      <c r="AL52" s="5">
        <v>-1514.026</v>
      </c>
      <c r="AM52" s="9">
        <v>0</v>
      </c>
      <c r="AN52" s="5">
        <v>-885.016</v>
      </c>
      <c r="AO52" s="9">
        <v>0</v>
      </c>
      <c r="AP52" s="15">
        <v>0</v>
      </c>
      <c r="AQ52" s="4">
        <v>-9.0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48</v>
      </c>
      <c r="E53" s="4">
        <v>130.0</v>
      </c>
      <c r="F53" s="5">
        <v>8450.0</v>
      </c>
      <c r="G53" s="9">
        <v>0</v>
      </c>
      <c r="H53" s="9">
        <v>0</v>
      </c>
      <c r="I53" s="9">
        <v>0</v>
      </c>
      <c r="J53" s="9">
        <v>0</v>
      </c>
      <c r="K53" s="4">
        <v>1.272726</v>
      </c>
      <c r="L53" s="5">
        <v>82.72719</v>
      </c>
      <c r="M53" s="6">
        <v>1.0</v>
      </c>
      <c r="N53" s="4">
        <v>30.0</v>
      </c>
      <c r="O53" s="4">
        <v>2.727272</v>
      </c>
      <c r="P53" s="4">
        <v>1.0</v>
      </c>
      <c r="Q53" s="4">
        <v>0.090909</v>
      </c>
      <c r="R53" s="4">
        <v>91.0</v>
      </c>
      <c r="S53" s="5">
        <v>5915.0</v>
      </c>
      <c r="T53" s="4">
        <v>0.083333</v>
      </c>
      <c r="U53" s="14">
        <v>1092.0043680175</v>
      </c>
      <c r="V53" s="5">
        <v>1950.0</v>
      </c>
      <c r="W53" s="5">
        <v>65.0</v>
      </c>
      <c r="X53" s="5">
        <v>5607.48</v>
      </c>
      <c r="Y53" s="5">
        <v>186.916</v>
      </c>
      <c r="Z53" s="5">
        <v>3657.48</v>
      </c>
      <c r="AA53" s="5">
        <v>121.916</v>
      </c>
      <c r="AB53" s="8">
        <v>0.65225020864987</v>
      </c>
      <c r="AC53" s="4">
        <v>30.0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62.99</v>
      </c>
      <c r="AK53" s="5">
        <v>62.99</v>
      </c>
      <c r="AL53" s="5">
        <v>186.916</v>
      </c>
      <c r="AM53" s="5">
        <v>186.916</v>
      </c>
      <c r="AN53" s="5">
        <v>123.926</v>
      </c>
      <c r="AO53" s="5">
        <v>123.926</v>
      </c>
      <c r="AP53" s="8">
        <v>0.66300370219778</v>
      </c>
      <c r="AQ53" s="4">
        <v>1.0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66</v>
      </c>
      <c r="E54" s="4">
        <v>20.0</v>
      </c>
      <c r="F54" s="5">
        <v>1400.0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1">
        <v>0</v>
      </c>
      <c r="N54" s="9">
        <v>0</v>
      </c>
      <c r="O54" s="9">
        <v>0</v>
      </c>
      <c r="P54" s="9">
        <v>0</v>
      </c>
      <c r="Q54" s="9">
        <v>0</v>
      </c>
      <c r="R54" s="4">
        <v>20.0</v>
      </c>
      <c r="S54" s="5">
        <v>1400.0</v>
      </c>
      <c r="T54" s="9">
        <v>0</v>
      </c>
      <c r="U54" s="12" t="s">
        <v>49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48</v>
      </c>
      <c r="E55" s="4">
        <v>5.0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1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2" t="s">
        <v>49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48</v>
      </c>
      <c r="E56" s="4">
        <v>30.0</v>
      </c>
      <c r="F56" s="5">
        <v>5400.0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1">
        <v>0</v>
      </c>
      <c r="N56" s="9">
        <v>0</v>
      </c>
      <c r="O56" s="9">
        <v>0</v>
      </c>
      <c r="P56" s="9">
        <v>0</v>
      </c>
      <c r="Q56" s="9">
        <v>0</v>
      </c>
      <c r="R56" s="4">
        <v>28.0</v>
      </c>
      <c r="S56" s="5">
        <v>5040.0</v>
      </c>
      <c r="T56" s="9">
        <v>0</v>
      </c>
      <c r="U56" s="12" t="s">
        <v>49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48</v>
      </c>
      <c r="E57" s="4">
        <v>50.0</v>
      </c>
      <c r="F57" s="5">
        <v>10000.0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1">
        <v>0</v>
      </c>
      <c r="N57" s="9">
        <v>0</v>
      </c>
      <c r="O57" s="9">
        <v>0</v>
      </c>
      <c r="P57" s="9">
        <v>0</v>
      </c>
      <c r="Q57" s="9">
        <v>0</v>
      </c>
      <c r="R57" s="4">
        <v>49.0</v>
      </c>
      <c r="S57" s="5">
        <v>9800.0</v>
      </c>
      <c r="T57" s="9">
        <v>0</v>
      </c>
      <c r="U57" s="12" t="s">
        <v>49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48</v>
      </c>
      <c r="E58" s="4">
        <v>30.0</v>
      </c>
      <c r="F58" s="5">
        <v>600.0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1">
        <v>0</v>
      </c>
      <c r="N58" s="9">
        <v>0</v>
      </c>
      <c r="O58" s="9">
        <v>0</v>
      </c>
      <c r="P58" s="9">
        <v>0</v>
      </c>
      <c r="Q58" s="9">
        <v>0</v>
      </c>
      <c r="R58" s="4">
        <v>29.0</v>
      </c>
      <c r="S58" s="5">
        <v>580.0</v>
      </c>
      <c r="T58" s="9">
        <v>0</v>
      </c>
      <c r="U58" s="12" t="s">
        <v>49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48</v>
      </c>
      <c r="E59" s="4">
        <v>50.0</v>
      </c>
      <c r="F59" s="5">
        <v>4500.0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1">
        <v>0</v>
      </c>
      <c r="N59" s="9">
        <v>0</v>
      </c>
      <c r="O59" s="9">
        <v>0</v>
      </c>
      <c r="P59" s="9">
        <v>0</v>
      </c>
      <c r="Q59" s="9">
        <v>0</v>
      </c>
      <c r="R59" s="4">
        <v>49.0</v>
      </c>
      <c r="S59" s="5">
        <v>4410.0</v>
      </c>
      <c r="T59" s="9">
        <v>0</v>
      </c>
      <c r="U59" s="12" t="s">
        <v>49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48</v>
      </c>
      <c r="E60" s="9">
        <v>0</v>
      </c>
      <c r="F60" s="9">
        <v>0</v>
      </c>
      <c r="G60" s="9">
        <v>0</v>
      </c>
      <c r="H60" s="9">
        <v>0</v>
      </c>
      <c r="I60" s="4">
        <v>50.0</v>
      </c>
      <c r="J60" s="5">
        <v>3500.0</v>
      </c>
      <c r="K60" s="9">
        <v>0</v>
      </c>
      <c r="L60" s="9">
        <v>0</v>
      </c>
      <c r="M60" s="11">
        <v>0</v>
      </c>
      <c r="N60" s="9">
        <v>0</v>
      </c>
      <c r="O60" s="9">
        <v>0</v>
      </c>
      <c r="P60" s="9">
        <v>0</v>
      </c>
      <c r="Q60" s="9">
        <v>0</v>
      </c>
      <c r="R60" s="4">
        <v>44.0</v>
      </c>
      <c r="S60" s="5">
        <v>3080.0</v>
      </c>
      <c r="T60" s="9">
        <v>0</v>
      </c>
      <c r="U60" s="12" t="s">
        <v>49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52</v>
      </c>
      <c r="E61" s="9">
        <v>0</v>
      </c>
      <c r="F61" s="9">
        <v>0</v>
      </c>
      <c r="G61" s="9">
        <v>0</v>
      </c>
      <c r="H61" s="9">
        <v>0</v>
      </c>
      <c r="I61" s="4">
        <v>3.0</v>
      </c>
      <c r="J61" s="5">
        <v>240.0</v>
      </c>
      <c r="K61" s="4">
        <v>5.090904</v>
      </c>
      <c r="L61" s="5">
        <v>407.27232</v>
      </c>
      <c r="M61" s="6">
        <v>0.41071369642798</v>
      </c>
      <c r="N61" s="4">
        <v>38.0</v>
      </c>
      <c r="O61" s="4">
        <v>3.545454</v>
      </c>
      <c r="P61" s="4">
        <v>4.0</v>
      </c>
      <c r="Q61" s="4">
        <v>0.363636</v>
      </c>
      <c r="R61" s="9">
        <v>0</v>
      </c>
      <c r="S61" s="9">
        <v>0</v>
      </c>
      <c r="T61" s="4">
        <v>0.333333</v>
      </c>
      <c r="U61" s="12" t="s">
        <v>49</v>
      </c>
      <c r="V61" s="5">
        <v>3040.0</v>
      </c>
      <c r="W61" s="5">
        <v>80.0</v>
      </c>
      <c r="X61" s="5">
        <v>10392.523</v>
      </c>
      <c r="Y61" s="5">
        <v>273.48744736842</v>
      </c>
      <c r="Z61" s="5">
        <v>7352.523</v>
      </c>
      <c r="AA61" s="5">
        <v>193.48744736842</v>
      </c>
      <c r="AB61" s="8">
        <v>0.70748200412931</v>
      </c>
      <c r="AC61" s="4">
        <v>38.0</v>
      </c>
      <c r="AD61" s="4">
        <v>1.0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320.0</v>
      </c>
      <c r="AK61" s="5">
        <v>80.0</v>
      </c>
      <c r="AL61" s="5">
        <v>473.645</v>
      </c>
      <c r="AM61" s="5">
        <v>118.41125</v>
      </c>
      <c r="AN61" s="5">
        <v>153.645</v>
      </c>
      <c r="AO61" s="5">
        <v>38.41125</v>
      </c>
      <c r="AP61" s="8">
        <v>0.32438851882739</v>
      </c>
      <c r="AQ61" s="4">
        <v>4.0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48</v>
      </c>
      <c r="E62" s="9">
        <v>0</v>
      </c>
      <c r="F62" s="9">
        <v>0</v>
      </c>
      <c r="G62" s="9">
        <v>0</v>
      </c>
      <c r="H62" s="9">
        <v>0</v>
      </c>
      <c r="I62" s="4">
        <v>100.0</v>
      </c>
      <c r="J62" s="5">
        <v>3000.0</v>
      </c>
      <c r="K62" s="4">
        <v>10.181808</v>
      </c>
      <c r="L62" s="5">
        <v>305.45424</v>
      </c>
      <c r="M62" s="13">
        <v>-8.821438392867</v>
      </c>
      <c r="N62" s="9">
        <v>0</v>
      </c>
      <c r="O62" s="9">
        <v>0</v>
      </c>
      <c r="P62" s="4">
        <v>8.0</v>
      </c>
      <c r="Q62" s="4">
        <v>0.727272</v>
      </c>
      <c r="R62" s="4">
        <v>90.0</v>
      </c>
      <c r="S62" s="5">
        <v>2700.0</v>
      </c>
      <c r="T62" s="4">
        <v>0.666666</v>
      </c>
      <c r="U62" s="14">
        <v>135.00013500014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5">
        <v>240.0</v>
      </c>
      <c r="AK62" s="5">
        <v>30.0</v>
      </c>
      <c r="AL62" s="5">
        <v>593.456</v>
      </c>
      <c r="AM62" s="5">
        <v>74.182</v>
      </c>
      <c r="AN62" s="5">
        <v>353.456</v>
      </c>
      <c r="AO62" s="5">
        <v>44.182</v>
      </c>
      <c r="AP62" s="8">
        <v>0.59558922649699</v>
      </c>
      <c r="AQ62" s="4">
        <v>8.0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48</v>
      </c>
      <c r="E63" s="4">
        <v>1.0</v>
      </c>
      <c r="F63" s="5">
        <v>39.0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1">
        <v>0</v>
      </c>
      <c r="N63" s="9">
        <v>0</v>
      </c>
      <c r="O63" s="9">
        <v>0</v>
      </c>
      <c r="P63" s="9">
        <v>0</v>
      </c>
      <c r="Q63" s="9">
        <v>0</v>
      </c>
      <c r="R63" s="4">
        <v>1.0</v>
      </c>
      <c r="S63" s="5">
        <v>39.0</v>
      </c>
      <c r="T63" s="9">
        <v>0</v>
      </c>
      <c r="U63" s="12" t="s">
        <v>49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48</v>
      </c>
      <c r="E64" s="4">
        <v>5.0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1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2" t="s">
        <v>49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48</v>
      </c>
      <c r="E65" s="4">
        <v>30.0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1">
        <v>0</v>
      </c>
      <c r="N65" s="4">
        <v>1.0</v>
      </c>
      <c r="O65" s="4">
        <v>0.090909</v>
      </c>
      <c r="P65" s="9">
        <v>0</v>
      </c>
      <c r="Q65" s="9">
        <v>0</v>
      </c>
      <c r="R65" s="4">
        <v>9.0</v>
      </c>
      <c r="S65" s="9">
        <v>0</v>
      </c>
      <c r="T65" s="9">
        <v>0</v>
      </c>
      <c r="U65" s="12" t="s">
        <v>49</v>
      </c>
      <c r="V65" s="9">
        <v>0</v>
      </c>
      <c r="W65" s="5">
        <v>0.0</v>
      </c>
      <c r="X65" s="9">
        <v>0</v>
      </c>
      <c r="Y65" s="5">
        <v>0.0</v>
      </c>
      <c r="Z65" s="9">
        <v>0</v>
      </c>
      <c r="AA65" s="5">
        <v>0.0</v>
      </c>
      <c r="AB65" s="3">
        <v>0</v>
      </c>
      <c r="AC65" s="4">
        <v>1.0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66</v>
      </c>
      <c r="E66" s="4">
        <v>130.0</v>
      </c>
      <c r="F66" s="5">
        <v>6500.0</v>
      </c>
      <c r="G66" s="9">
        <v>0</v>
      </c>
      <c r="H66" s="9">
        <v>0</v>
      </c>
      <c r="I66" s="9">
        <v>0</v>
      </c>
      <c r="J66" s="9">
        <v>0</v>
      </c>
      <c r="K66" s="4">
        <v>8.909082</v>
      </c>
      <c r="L66" s="5">
        <v>445.4541</v>
      </c>
      <c r="M66" s="6">
        <v>1.0</v>
      </c>
      <c r="N66" s="4">
        <v>87.0</v>
      </c>
      <c r="O66" s="4">
        <v>7.818181</v>
      </c>
      <c r="P66" s="4">
        <v>7.0</v>
      </c>
      <c r="Q66" s="4">
        <v>0.636363</v>
      </c>
      <c r="R66" s="9">
        <v>0</v>
      </c>
      <c r="S66" s="9">
        <v>0</v>
      </c>
      <c r="T66" s="4">
        <v>0.583333</v>
      </c>
      <c r="U66" s="12" t="s">
        <v>49</v>
      </c>
      <c r="V66" s="5">
        <v>4350.0</v>
      </c>
      <c r="W66" s="5">
        <v>50.0</v>
      </c>
      <c r="X66" s="5">
        <v>11945.012</v>
      </c>
      <c r="Y66" s="5">
        <v>137.29898850575</v>
      </c>
      <c r="Z66" s="5">
        <v>7595.012</v>
      </c>
      <c r="AA66" s="5">
        <v>87.298988505747</v>
      </c>
      <c r="AB66" s="8">
        <v>0.63583125743197</v>
      </c>
      <c r="AC66" s="4">
        <v>87.0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350.0</v>
      </c>
      <c r="AK66" s="5">
        <v>50.0</v>
      </c>
      <c r="AL66" s="5">
        <v>1308.411</v>
      </c>
      <c r="AM66" s="5">
        <v>186.91585714286</v>
      </c>
      <c r="AN66" s="5">
        <v>958.411</v>
      </c>
      <c r="AO66" s="5">
        <v>136.91585714286</v>
      </c>
      <c r="AP66" s="8">
        <v>0.73249995605356</v>
      </c>
      <c r="AQ66" s="4">
        <v>7.0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66</v>
      </c>
      <c r="E67" s="4">
        <v>100.0</v>
      </c>
      <c r="F67" s="5">
        <v>15000.0</v>
      </c>
      <c r="G67" s="9">
        <v>0</v>
      </c>
      <c r="H67" s="9">
        <v>0</v>
      </c>
      <c r="I67" s="9">
        <v>0</v>
      </c>
      <c r="J67" s="9">
        <v>0</v>
      </c>
      <c r="K67" s="4">
        <v>2.545452</v>
      </c>
      <c r="L67" s="5">
        <v>381.8178</v>
      </c>
      <c r="M67" s="6">
        <v>1.0</v>
      </c>
      <c r="N67" s="4">
        <v>48.0</v>
      </c>
      <c r="O67" s="4">
        <v>4.363636</v>
      </c>
      <c r="P67" s="4">
        <v>2.0</v>
      </c>
      <c r="Q67" s="4">
        <v>0.181818</v>
      </c>
      <c r="R67" s="9">
        <v>0</v>
      </c>
      <c r="S67" s="9">
        <v>0</v>
      </c>
      <c r="T67" s="4">
        <v>0.166666</v>
      </c>
      <c r="U67" s="12" t="s">
        <v>49</v>
      </c>
      <c r="V67" s="5">
        <v>7200.0</v>
      </c>
      <c r="W67" s="5">
        <v>150.0</v>
      </c>
      <c r="X67" s="5">
        <v>4899.068</v>
      </c>
      <c r="Y67" s="5">
        <v>102.06391666667</v>
      </c>
      <c r="Z67" s="5">
        <v>-2300.932</v>
      </c>
      <c r="AA67" s="5">
        <v>-47.936083333333</v>
      </c>
      <c r="AB67" s="17">
        <v>-0.46966729181959</v>
      </c>
      <c r="AC67" s="4">
        <v>48.0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300.0</v>
      </c>
      <c r="AK67" s="5">
        <v>150.0</v>
      </c>
      <c r="AL67" s="5">
        <v>383.177</v>
      </c>
      <c r="AM67" s="5">
        <v>191.5885</v>
      </c>
      <c r="AN67" s="5">
        <v>83.177</v>
      </c>
      <c r="AO67" s="5">
        <v>41.5885</v>
      </c>
      <c r="AP67" s="19">
        <v>0.21707200588762</v>
      </c>
      <c r="AQ67" s="4">
        <v>2.0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48</v>
      </c>
      <c r="E68" s="9">
        <v>0</v>
      </c>
      <c r="F68" s="9">
        <v>0</v>
      </c>
      <c r="G68" s="9">
        <v>0</v>
      </c>
      <c r="H68" s="9">
        <v>0</v>
      </c>
      <c r="I68" s="4">
        <v>10.0</v>
      </c>
      <c r="J68" s="5">
        <v>500.0</v>
      </c>
      <c r="K68" s="4">
        <v>1.272726</v>
      </c>
      <c r="L68" s="5">
        <v>63.6363</v>
      </c>
      <c r="M68" s="13">
        <v>-6.8571507142936</v>
      </c>
      <c r="N68" s="9">
        <v>0</v>
      </c>
      <c r="O68" s="9">
        <v>0</v>
      </c>
      <c r="P68" s="4">
        <v>1.0</v>
      </c>
      <c r="Q68" s="4">
        <v>0.090909</v>
      </c>
      <c r="R68" s="4">
        <v>9.0</v>
      </c>
      <c r="S68" s="5">
        <v>450.0</v>
      </c>
      <c r="T68" s="4">
        <v>0.083333</v>
      </c>
      <c r="U68" s="14">
        <v>108.00043200173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50.0</v>
      </c>
      <c r="AK68" s="5">
        <v>50.0</v>
      </c>
      <c r="AL68" s="5">
        <v>271.028</v>
      </c>
      <c r="AM68" s="5">
        <v>271.028</v>
      </c>
      <c r="AN68" s="5">
        <v>221.028</v>
      </c>
      <c r="AO68" s="5">
        <v>221.028</v>
      </c>
      <c r="AP68" s="8">
        <v>0.81551721593341</v>
      </c>
      <c r="AQ68" s="4">
        <v>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48</v>
      </c>
      <c r="E69" s="4">
        <v>30.0</v>
      </c>
      <c r="F69" s="5">
        <v>2400.0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1">
        <v>0</v>
      </c>
      <c r="N69" s="4">
        <v>2.0</v>
      </c>
      <c r="O69" s="4">
        <v>0.181818</v>
      </c>
      <c r="P69" s="9">
        <v>0</v>
      </c>
      <c r="Q69" s="9">
        <v>0</v>
      </c>
      <c r="R69" s="4">
        <v>18.0</v>
      </c>
      <c r="S69" s="5">
        <v>1440.0</v>
      </c>
      <c r="T69" s="9">
        <v>0</v>
      </c>
      <c r="U69" s="12" t="s">
        <v>49</v>
      </c>
      <c r="V69" s="5">
        <v>160.0</v>
      </c>
      <c r="W69" s="5">
        <v>80.0</v>
      </c>
      <c r="X69" s="9">
        <v>0</v>
      </c>
      <c r="Y69" s="5">
        <v>0.0</v>
      </c>
      <c r="Z69" s="5">
        <v>-160.0</v>
      </c>
      <c r="AA69" s="5">
        <v>-80.0</v>
      </c>
      <c r="AB69" s="15">
        <v>0</v>
      </c>
      <c r="AC69" s="4">
        <v>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48</v>
      </c>
      <c r="E70" s="4">
        <v>100.0</v>
      </c>
      <c r="F70" s="5">
        <v>8000.0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1">
        <v>0</v>
      </c>
      <c r="N70" s="4">
        <v>2.0</v>
      </c>
      <c r="O70" s="4">
        <v>0.545454</v>
      </c>
      <c r="P70" s="4">
        <v>-1.0</v>
      </c>
      <c r="Q70" s="9">
        <v>0</v>
      </c>
      <c r="R70" s="4">
        <v>81.0</v>
      </c>
      <c r="S70" s="5">
        <v>6480.0</v>
      </c>
      <c r="T70" s="4">
        <v>-0.083333</v>
      </c>
      <c r="U70" s="12" t="s">
        <v>49</v>
      </c>
      <c r="V70" s="5">
        <v>160.0</v>
      </c>
      <c r="W70" s="5">
        <v>80.0</v>
      </c>
      <c r="X70" s="5">
        <v>654.206</v>
      </c>
      <c r="Y70" s="5">
        <v>327.103</v>
      </c>
      <c r="Z70" s="5">
        <v>494.206</v>
      </c>
      <c r="AA70" s="5">
        <v>247.103</v>
      </c>
      <c r="AB70" s="8">
        <v>0.75542871817134</v>
      </c>
      <c r="AC70" s="4">
        <v>2.0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5">
        <v>-80.0</v>
      </c>
      <c r="AK70" s="9">
        <v>0</v>
      </c>
      <c r="AL70" s="5">
        <v>-327.103</v>
      </c>
      <c r="AM70" s="9">
        <v>0</v>
      </c>
      <c r="AN70" s="5">
        <v>-247.103</v>
      </c>
      <c r="AO70" s="9">
        <v>0</v>
      </c>
      <c r="AP70" s="15">
        <v>0</v>
      </c>
      <c r="AQ70" s="4">
        <v>-1.0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48</v>
      </c>
      <c r="E71" s="9">
        <v>0</v>
      </c>
      <c r="F71" s="9">
        <v>0</v>
      </c>
      <c r="G71" s="9">
        <v>0</v>
      </c>
      <c r="H71" s="9">
        <v>0</v>
      </c>
      <c r="I71" s="4">
        <v>30.0</v>
      </c>
      <c r="J71" s="5">
        <v>1770.0</v>
      </c>
      <c r="K71" s="9">
        <v>0</v>
      </c>
      <c r="L71" s="9">
        <v>0</v>
      </c>
      <c r="M71" s="11">
        <v>0</v>
      </c>
      <c r="N71" s="9">
        <v>0</v>
      </c>
      <c r="O71" s="9">
        <v>0</v>
      </c>
      <c r="P71" s="9">
        <v>0</v>
      </c>
      <c r="Q71" s="9">
        <v>0</v>
      </c>
      <c r="R71" s="4">
        <v>30.0</v>
      </c>
      <c r="S71" s="5">
        <v>1770.0</v>
      </c>
      <c r="T71" s="9">
        <v>0</v>
      </c>
      <c r="U71" s="12" t="s">
        <v>49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48</v>
      </c>
      <c r="E72" s="9">
        <v>0</v>
      </c>
      <c r="F72" s="9">
        <v>0</v>
      </c>
      <c r="G72" s="9">
        <v>0</v>
      </c>
      <c r="H72" s="9">
        <v>0</v>
      </c>
      <c r="I72" s="4">
        <v>29.0</v>
      </c>
      <c r="J72" s="5">
        <v>1972.0</v>
      </c>
      <c r="K72" s="9">
        <v>0</v>
      </c>
      <c r="L72" s="9">
        <v>0</v>
      </c>
      <c r="M72" s="11">
        <v>0</v>
      </c>
      <c r="N72" s="9">
        <v>0</v>
      </c>
      <c r="O72" s="9">
        <v>0</v>
      </c>
      <c r="P72" s="9">
        <v>0</v>
      </c>
      <c r="Q72" s="9">
        <v>0</v>
      </c>
      <c r="R72" s="4">
        <v>29.0</v>
      </c>
      <c r="S72" s="5">
        <v>1972.0</v>
      </c>
      <c r="T72" s="9">
        <v>0</v>
      </c>
      <c r="U72" s="12" t="s">
        <v>49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48</v>
      </c>
      <c r="E73" s="9">
        <v>0</v>
      </c>
      <c r="F73" s="9">
        <v>0</v>
      </c>
      <c r="G73" s="9">
        <v>0</v>
      </c>
      <c r="H73" s="9">
        <v>0</v>
      </c>
      <c r="I73" s="4">
        <v>20.0</v>
      </c>
      <c r="J73" s="5">
        <v>4000.0</v>
      </c>
      <c r="K73" s="4">
        <v>2.545452</v>
      </c>
      <c r="L73" s="5">
        <v>509.0904</v>
      </c>
      <c r="M73" s="13">
        <v>-6.8571507142936</v>
      </c>
      <c r="N73" s="9">
        <v>0</v>
      </c>
      <c r="O73" s="9">
        <v>0</v>
      </c>
      <c r="P73" s="4">
        <v>1.0</v>
      </c>
      <c r="Q73" s="4">
        <v>0.181818</v>
      </c>
      <c r="R73" s="4">
        <v>17.0</v>
      </c>
      <c r="S73" s="5">
        <v>3400.0</v>
      </c>
      <c r="T73" s="4">
        <v>0.083333</v>
      </c>
      <c r="U73" s="14">
        <v>204.00081600326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200.0</v>
      </c>
      <c r="AK73" s="5">
        <v>200.0</v>
      </c>
      <c r="AL73" s="5">
        <v>373.832</v>
      </c>
      <c r="AM73" s="5">
        <v>373.832</v>
      </c>
      <c r="AN73" s="5">
        <v>173.832</v>
      </c>
      <c r="AO73" s="5">
        <v>173.832</v>
      </c>
      <c r="AP73" s="8">
        <v>0.46500032099981</v>
      </c>
      <c r="AQ73" s="4">
        <v>1.0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48</v>
      </c>
      <c r="E74" s="9">
        <v>0</v>
      </c>
      <c r="F74" s="9">
        <v>0</v>
      </c>
      <c r="G74" s="9">
        <v>0</v>
      </c>
      <c r="H74" s="9">
        <v>0</v>
      </c>
      <c r="I74" s="4">
        <v>10.0</v>
      </c>
      <c r="J74" s="5">
        <v>550.0</v>
      </c>
      <c r="K74" s="9">
        <v>0</v>
      </c>
      <c r="L74" s="9">
        <v>0</v>
      </c>
      <c r="M74" s="11">
        <v>0</v>
      </c>
      <c r="N74" s="9">
        <v>0</v>
      </c>
      <c r="O74" s="9">
        <v>0</v>
      </c>
      <c r="P74" s="9">
        <v>0</v>
      </c>
      <c r="Q74" s="9">
        <v>0</v>
      </c>
      <c r="R74" s="4">
        <v>10.0</v>
      </c>
      <c r="S74" s="5">
        <v>550.0</v>
      </c>
      <c r="T74" s="9">
        <v>0</v>
      </c>
      <c r="U74" s="12" t="s">
        <v>49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48</v>
      </c>
      <c r="E75" s="9">
        <v>0</v>
      </c>
      <c r="F75" s="9">
        <v>0</v>
      </c>
      <c r="G75" s="9">
        <v>0</v>
      </c>
      <c r="H75" s="9">
        <v>0</v>
      </c>
      <c r="I75" s="4">
        <v>20.0</v>
      </c>
      <c r="J75" s="5">
        <v>440.0</v>
      </c>
      <c r="K75" s="9">
        <v>0</v>
      </c>
      <c r="L75" s="9">
        <v>0</v>
      </c>
      <c r="M75" s="11">
        <v>0</v>
      </c>
      <c r="N75" s="9">
        <v>0</v>
      </c>
      <c r="O75" s="9">
        <v>0</v>
      </c>
      <c r="P75" s="9">
        <v>0</v>
      </c>
      <c r="Q75" s="9">
        <v>0</v>
      </c>
      <c r="R75" s="4">
        <v>20.0</v>
      </c>
      <c r="S75" s="5">
        <v>440.0</v>
      </c>
      <c r="T75" s="9">
        <v>0</v>
      </c>
      <c r="U75" s="12" t="s">
        <v>49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48</v>
      </c>
      <c r="E76" s="9">
        <v>0</v>
      </c>
      <c r="F76" s="9">
        <v>0</v>
      </c>
      <c r="G76" s="9">
        <v>0</v>
      </c>
      <c r="H76" s="9">
        <v>0</v>
      </c>
      <c r="I76" s="4">
        <v>19.0</v>
      </c>
      <c r="J76" s="5">
        <v>380.0</v>
      </c>
      <c r="K76" s="9">
        <v>0</v>
      </c>
      <c r="L76" s="9">
        <v>0</v>
      </c>
      <c r="M76" s="11">
        <v>0</v>
      </c>
      <c r="N76" s="9">
        <v>0</v>
      </c>
      <c r="O76" s="9">
        <v>0</v>
      </c>
      <c r="P76" s="9">
        <v>0</v>
      </c>
      <c r="Q76" s="9">
        <v>0</v>
      </c>
      <c r="R76" s="4">
        <v>19.0</v>
      </c>
      <c r="S76" s="5">
        <v>380.0</v>
      </c>
      <c r="T76" s="9">
        <v>0</v>
      </c>
      <c r="U76" s="12" t="s">
        <v>49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48</v>
      </c>
      <c r="E77" s="9">
        <v>0</v>
      </c>
      <c r="F77" s="9">
        <v>0</v>
      </c>
      <c r="G77" s="9">
        <v>0</v>
      </c>
      <c r="H77" s="9">
        <v>0</v>
      </c>
      <c r="I77" s="4">
        <v>20.0</v>
      </c>
      <c r="J77" s="5">
        <v>500.0</v>
      </c>
      <c r="K77" s="9">
        <v>0</v>
      </c>
      <c r="L77" s="9">
        <v>0</v>
      </c>
      <c r="M77" s="11">
        <v>0</v>
      </c>
      <c r="N77" s="9">
        <v>0</v>
      </c>
      <c r="O77" s="9">
        <v>0</v>
      </c>
      <c r="P77" s="9">
        <v>0</v>
      </c>
      <c r="Q77" s="9">
        <v>0</v>
      </c>
      <c r="R77" s="4">
        <v>20.0</v>
      </c>
      <c r="S77" s="5">
        <v>500.0</v>
      </c>
      <c r="T77" s="9">
        <v>0</v>
      </c>
      <c r="U77" s="12" t="s">
        <v>49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3">
        <v>0</v>
      </c>
      <c r="AQ77" s="9">
        <v>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48</v>
      </c>
      <c r="E78" s="9">
        <v>0</v>
      </c>
      <c r="F78" s="9">
        <v>0</v>
      </c>
      <c r="G78" s="9">
        <v>0</v>
      </c>
      <c r="H78" s="9">
        <v>0</v>
      </c>
      <c r="I78" s="4">
        <v>20.0</v>
      </c>
      <c r="J78" s="5">
        <v>1060.0</v>
      </c>
      <c r="K78" s="9">
        <v>0</v>
      </c>
      <c r="L78" s="9">
        <v>0</v>
      </c>
      <c r="M78" s="11">
        <v>0</v>
      </c>
      <c r="N78" s="9">
        <v>0</v>
      </c>
      <c r="O78" s="9">
        <v>0</v>
      </c>
      <c r="P78" s="9">
        <v>0</v>
      </c>
      <c r="Q78" s="9">
        <v>0</v>
      </c>
      <c r="R78" s="4">
        <v>20.0</v>
      </c>
      <c r="S78" s="5">
        <v>1060.0</v>
      </c>
      <c r="T78" s="9">
        <v>0</v>
      </c>
      <c r="U78" s="12" t="s">
        <v>49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48</v>
      </c>
      <c r="E79" s="4">
        <v>5.0</v>
      </c>
      <c r="F79" s="5">
        <v>1975.0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1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2" t="s">
        <v>49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66</v>
      </c>
      <c r="E80" s="9">
        <v>0</v>
      </c>
      <c r="F80" s="9">
        <v>0</v>
      </c>
      <c r="G80" s="9">
        <v>0</v>
      </c>
      <c r="H80" s="9">
        <v>0</v>
      </c>
      <c r="I80" s="4">
        <v>30.0</v>
      </c>
      <c r="J80" s="5">
        <v>6870.0</v>
      </c>
      <c r="K80" s="4">
        <v>44.545452</v>
      </c>
      <c r="L80" s="5">
        <v>10200.908508</v>
      </c>
      <c r="M80" s="6">
        <v>0.32653057376093</v>
      </c>
      <c r="N80" s="4">
        <v>14.0</v>
      </c>
      <c r="O80" s="4">
        <v>1.272727</v>
      </c>
      <c r="P80" s="4">
        <v>30.0</v>
      </c>
      <c r="Q80" s="4">
        <v>3.181818</v>
      </c>
      <c r="R80" s="4">
        <v>3.0</v>
      </c>
      <c r="S80" s="5">
        <v>687.0</v>
      </c>
      <c r="T80" s="4">
        <v>2.5</v>
      </c>
      <c r="U80" s="7">
        <v>1.2</v>
      </c>
      <c r="V80" s="9">
        <v>0</v>
      </c>
      <c r="W80" s="5">
        <v>0.0</v>
      </c>
      <c r="X80" s="5">
        <v>6542.06</v>
      </c>
      <c r="Y80" s="5">
        <v>467.29</v>
      </c>
      <c r="Z80" s="5">
        <v>6542.06</v>
      </c>
      <c r="AA80" s="5">
        <v>467.29</v>
      </c>
      <c r="AB80" s="8">
        <v>1.0</v>
      </c>
      <c r="AC80" s="4">
        <v>14.0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5496.0</v>
      </c>
      <c r="AK80" s="5">
        <v>183.2</v>
      </c>
      <c r="AL80" s="5">
        <v>12556.079</v>
      </c>
      <c r="AM80" s="5">
        <v>418.53596666667</v>
      </c>
      <c r="AN80" s="5">
        <v>7060.079</v>
      </c>
      <c r="AO80" s="5">
        <v>235.33596666667</v>
      </c>
      <c r="AP80" s="8">
        <v>0.56228373523295</v>
      </c>
      <c r="AQ80" s="4">
        <v>30.0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48</v>
      </c>
      <c r="E81" s="4">
        <v>5.0</v>
      </c>
      <c r="F81" s="5">
        <v>695.0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1">
        <v>0</v>
      </c>
      <c r="N81" s="4">
        <v>1.0</v>
      </c>
      <c r="O81" s="4">
        <v>0.090909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2" t="s">
        <v>49</v>
      </c>
      <c r="V81" s="5">
        <v>139.0</v>
      </c>
      <c r="W81" s="5">
        <v>139.0</v>
      </c>
      <c r="X81" s="5">
        <v>196.262</v>
      </c>
      <c r="Y81" s="5">
        <v>196.262</v>
      </c>
      <c r="Z81" s="5">
        <v>57.262</v>
      </c>
      <c r="AA81" s="5">
        <v>57.262</v>
      </c>
      <c r="AB81" s="8">
        <v>0.29176305143125</v>
      </c>
      <c r="AC81" s="4">
        <v>1.0</v>
      </c>
      <c r="AD81" s="9">
        <v>0</v>
      </c>
      <c r="AE81" s="4">
        <v>1.0</v>
      </c>
      <c r="AF81" s="9">
        <v>0</v>
      </c>
      <c r="AG81" s="10">
        <v>1.0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48</v>
      </c>
      <c r="E82" s="9">
        <v>0</v>
      </c>
      <c r="F82" s="9">
        <v>0</v>
      </c>
      <c r="G82" s="9">
        <v>0</v>
      </c>
      <c r="H82" s="9">
        <v>0</v>
      </c>
      <c r="I82" s="4">
        <v>5.0</v>
      </c>
      <c r="J82" s="5">
        <v>645.0</v>
      </c>
      <c r="K82" s="9">
        <v>0</v>
      </c>
      <c r="L82" s="9">
        <v>0</v>
      </c>
      <c r="M82" s="11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5">
        <v>645.0</v>
      </c>
      <c r="T82" s="9">
        <v>0</v>
      </c>
      <c r="U82" s="12" t="s">
        <v>49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48</v>
      </c>
      <c r="E83" s="9">
        <v>0</v>
      </c>
      <c r="F83" s="9">
        <v>0</v>
      </c>
      <c r="G83" s="9">
        <v>0</v>
      </c>
      <c r="H83" s="9">
        <v>0</v>
      </c>
      <c r="I83" s="4">
        <v>5.0</v>
      </c>
      <c r="J83" s="5">
        <v>395.0</v>
      </c>
      <c r="K83" s="4">
        <v>1.272726</v>
      </c>
      <c r="L83" s="5">
        <v>100.545354</v>
      </c>
      <c r="M83" s="13">
        <v>-2.9285753571468</v>
      </c>
      <c r="N83" s="9">
        <v>0</v>
      </c>
      <c r="O83" s="9">
        <v>0</v>
      </c>
      <c r="P83" s="4">
        <v>1.0</v>
      </c>
      <c r="Q83" s="4">
        <v>0.090909</v>
      </c>
      <c r="R83" s="4">
        <v>5.0</v>
      </c>
      <c r="S83" s="5">
        <v>395.0</v>
      </c>
      <c r="T83" s="4">
        <v>0.083333</v>
      </c>
      <c r="U83" s="14">
        <v>60.00024000096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79.0</v>
      </c>
      <c r="AK83" s="5">
        <v>79.0</v>
      </c>
      <c r="AL83" s="5">
        <v>467.29</v>
      </c>
      <c r="AM83" s="5">
        <v>467.29</v>
      </c>
      <c r="AN83" s="5">
        <v>388.29</v>
      </c>
      <c r="AO83" s="5">
        <v>388.29</v>
      </c>
      <c r="AP83" s="8">
        <v>0.83094010143594</v>
      </c>
      <c r="AQ83" s="4">
        <v>1.0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48</v>
      </c>
      <c r="E84" s="9">
        <v>0</v>
      </c>
      <c r="F84" s="9">
        <v>0</v>
      </c>
      <c r="G84" s="9">
        <v>0</v>
      </c>
      <c r="H84" s="9">
        <v>0</v>
      </c>
      <c r="I84" s="4">
        <v>5.0</v>
      </c>
      <c r="J84" s="5">
        <v>125.0</v>
      </c>
      <c r="K84" s="9">
        <v>0</v>
      </c>
      <c r="L84" s="9">
        <v>0</v>
      </c>
      <c r="M84" s="11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5">
        <v>125.0</v>
      </c>
      <c r="T84" s="9">
        <v>0</v>
      </c>
      <c r="U84" s="12" t="s">
        <v>49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48</v>
      </c>
      <c r="E85" s="9">
        <v>0</v>
      </c>
      <c r="F85" s="9">
        <v>0</v>
      </c>
      <c r="G85" s="9">
        <v>0</v>
      </c>
      <c r="H85" s="9">
        <v>0</v>
      </c>
      <c r="I85" s="4">
        <v>5.0</v>
      </c>
      <c r="J85" s="5">
        <v>125.0</v>
      </c>
      <c r="K85" s="9">
        <v>0</v>
      </c>
      <c r="L85" s="9">
        <v>0</v>
      </c>
      <c r="M85" s="11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5">
        <v>125.0</v>
      </c>
      <c r="T85" s="9">
        <v>0</v>
      </c>
      <c r="U85" s="12" t="s">
        <v>49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48</v>
      </c>
      <c r="E86" s="9">
        <v>0</v>
      </c>
      <c r="F86" s="9">
        <v>0</v>
      </c>
      <c r="G86" s="9">
        <v>0</v>
      </c>
      <c r="H86" s="9">
        <v>0</v>
      </c>
      <c r="I86" s="4">
        <v>5.0</v>
      </c>
      <c r="J86" s="5">
        <v>450.0</v>
      </c>
      <c r="K86" s="4">
        <v>5.090904</v>
      </c>
      <c r="L86" s="5">
        <v>458.18136</v>
      </c>
      <c r="M86" s="6">
        <v>0.017856160713304</v>
      </c>
      <c r="N86" s="9">
        <v>0</v>
      </c>
      <c r="O86" s="9">
        <v>0</v>
      </c>
      <c r="P86" s="4">
        <v>4.0</v>
      </c>
      <c r="Q86" s="4">
        <v>0.363636</v>
      </c>
      <c r="R86" s="4">
        <v>1.0</v>
      </c>
      <c r="S86" s="5">
        <v>90.0</v>
      </c>
      <c r="T86" s="4">
        <v>0.333333</v>
      </c>
      <c r="U86" s="7">
        <v>3.000003000003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360.0</v>
      </c>
      <c r="AK86" s="5">
        <v>90.0</v>
      </c>
      <c r="AL86" s="5">
        <v>1308.4</v>
      </c>
      <c r="AM86" s="5">
        <v>327.1</v>
      </c>
      <c r="AN86" s="5">
        <v>948.4</v>
      </c>
      <c r="AO86" s="5">
        <v>237.1</v>
      </c>
      <c r="AP86" s="8">
        <v>0.72485478446958</v>
      </c>
      <c r="AQ86" s="4">
        <v>4.0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48</v>
      </c>
      <c r="E87" s="9">
        <v>0</v>
      </c>
      <c r="F87" s="9">
        <v>0</v>
      </c>
      <c r="G87" s="9">
        <v>0</v>
      </c>
      <c r="H87" s="9">
        <v>0</v>
      </c>
      <c r="I87" s="4">
        <v>2.0</v>
      </c>
      <c r="J87" s="5">
        <v>170.0</v>
      </c>
      <c r="K87" s="4">
        <v>2.545452</v>
      </c>
      <c r="L87" s="5">
        <v>216.36342</v>
      </c>
      <c r="M87" s="6">
        <v>0.21428492857064</v>
      </c>
      <c r="N87" s="9">
        <v>0</v>
      </c>
      <c r="O87" s="9">
        <v>0</v>
      </c>
      <c r="P87" s="4">
        <v>2.0</v>
      </c>
      <c r="Q87" s="4">
        <v>0.181818</v>
      </c>
      <c r="R87" s="9">
        <v>0</v>
      </c>
      <c r="S87" s="9">
        <v>0</v>
      </c>
      <c r="T87" s="4">
        <v>0.166666</v>
      </c>
      <c r="U87" s="12" t="s">
        <v>49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170.0</v>
      </c>
      <c r="AK87" s="5">
        <v>85.0</v>
      </c>
      <c r="AL87" s="5">
        <v>670.25</v>
      </c>
      <c r="AM87" s="5">
        <v>335.125</v>
      </c>
      <c r="AN87" s="5">
        <v>500.25</v>
      </c>
      <c r="AO87" s="5">
        <v>250.125</v>
      </c>
      <c r="AP87" s="8">
        <v>0.74636329727714</v>
      </c>
      <c r="AQ87" s="4">
        <v>2.0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48</v>
      </c>
      <c r="E88" s="9">
        <v>0</v>
      </c>
      <c r="F88" s="9">
        <v>0</v>
      </c>
      <c r="G88" s="9">
        <v>0</v>
      </c>
      <c r="H88" s="9">
        <v>0</v>
      </c>
      <c r="I88" s="4">
        <v>200.0</v>
      </c>
      <c r="J88" s="5">
        <v>27800.0</v>
      </c>
      <c r="K88" s="9">
        <v>0</v>
      </c>
      <c r="L88" s="9">
        <v>0</v>
      </c>
      <c r="M88" s="11">
        <v>0</v>
      </c>
      <c r="N88" s="9">
        <v>0</v>
      </c>
      <c r="O88" s="9">
        <v>0</v>
      </c>
      <c r="P88" s="9">
        <v>0</v>
      </c>
      <c r="Q88" s="9">
        <v>0</v>
      </c>
      <c r="R88" s="4">
        <v>200.0</v>
      </c>
      <c r="S88" s="5">
        <v>27800.0</v>
      </c>
      <c r="T88" s="9">
        <v>0</v>
      </c>
      <c r="U88" s="12" t="s">
        <v>49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52</v>
      </c>
      <c r="E89" s="4">
        <v>550.0</v>
      </c>
      <c r="F89" s="5">
        <v>6600.0</v>
      </c>
      <c r="G89" s="9">
        <v>0</v>
      </c>
      <c r="H89" s="9">
        <v>0</v>
      </c>
      <c r="I89" s="4">
        <v>300.0</v>
      </c>
      <c r="J89" s="5">
        <v>3600.0</v>
      </c>
      <c r="K89" s="4">
        <v>325.818178</v>
      </c>
      <c r="L89" s="5">
        <v>3909.818136</v>
      </c>
      <c r="M89" s="6">
        <v>0.079241060638428</v>
      </c>
      <c r="N89" s="4">
        <v>227.0</v>
      </c>
      <c r="O89" s="4">
        <v>20.636363</v>
      </c>
      <c r="P89" s="4">
        <v>256.0</v>
      </c>
      <c r="Q89" s="4">
        <v>23.272727</v>
      </c>
      <c r="R89" s="4">
        <v>102.0</v>
      </c>
      <c r="S89" s="5">
        <v>1224.0</v>
      </c>
      <c r="T89" s="4">
        <v>21.333333</v>
      </c>
      <c r="U89" s="16">
        <v>4.781250074707</v>
      </c>
      <c r="V89" s="5">
        <v>2724.0</v>
      </c>
      <c r="W89" s="5">
        <v>12.0</v>
      </c>
      <c r="X89" s="5">
        <v>10207.206</v>
      </c>
      <c r="Y89" s="5">
        <v>44.965665198238</v>
      </c>
      <c r="Z89" s="5">
        <v>7483.206</v>
      </c>
      <c r="AA89" s="5">
        <v>32.965665198238</v>
      </c>
      <c r="AB89" s="8">
        <v>0.7331297124796</v>
      </c>
      <c r="AC89" s="4">
        <v>227.0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5">
        <v>2996.0</v>
      </c>
      <c r="AK89" s="5">
        <v>11.703125</v>
      </c>
      <c r="AL89" s="5">
        <v>11745.143</v>
      </c>
      <c r="AM89" s="5">
        <v>45.87946484375</v>
      </c>
      <c r="AN89" s="5">
        <v>8749.143</v>
      </c>
      <c r="AO89" s="5">
        <v>34.17633984375</v>
      </c>
      <c r="AP89" s="8">
        <v>0.74491583457094</v>
      </c>
      <c r="AQ89" s="4">
        <v>256.0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52</v>
      </c>
      <c r="E90" s="9">
        <v>0</v>
      </c>
      <c r="F90" s="9">
        <v>0</v>
      </c>
      <c r="G90" s="9">
        <v>0</v>
      </c>
      <c r="H90" s="9">
        <v>0</v>
      </c>
      <c r="I90" s="4">
        <v>20.0</v>
      </c>
      <c r="J90" s="5">
        <v>780.0</v>
      </c>
      <c r="K90" s="4">
        <v>22.909082</v>
      </c>
      <c r="L90" s="5">
        <v>893.454198</v>
      </c>
      <c r="M90" s="6">
        <v>0.12698378747782</v>
      </c>
      <c r="N90" s="4">
        <v>2.0</v>
      </c>
      <c r="O90" s="4">
        <v>0.181818</v>
      </c>
      <c r="P90" s="4">
        <v>18.0</v>
      </c>
      <c r="Q90" s="4">
        <v>1.636363</v>
      </c>
      <c r="R90" s="4">
        <v>23.0</v>
      </c>
      <c r="S90" s="5">
        <v>897.0</v>
      </c>
      <c r="T90" s="4">
        <v>1.5</v>
      </c>
      <c r="U90" s="14">
        <v>15.333333333333</v>
      </c>
      <c r="V90" s="5">
        <v>84.0</v>
      </c>
      <c r="W90" s="5">
        <v>42.0</v>
      </c>
      <c r="X90" s="9">
        <v>0</v>
      </c>
      <c r="Y90" s="5">
        <v>0.0</v>
      </c>
      <c r="Z90" s="5">
        <v>-84.0</v>
      </c>
      <c r="AA90" s="5">
        <v>-42.0</v>
      </c>
      <c r="AB90" s="15">
        <v>0</v>
      </c>
      <c r="AC90" s="4">
        <v>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778.4</v>
      </c>
      <c r="AK90" s="5">
        <v>43.244444444444</v>
      </c>
      <c r="AL90" s="5">
        <v>1901.865</v>
      </c>
      <c r="AM90" s="5">
        <v>105.65916666667</v>
      </c>
      <c r="AN90" s="5">
        <v>1123.465</v>
      </c>
      <c r="AO90" s="5">
        <v>62.414722222222</v>
      </c>
      <c r="AP90" s="8">
        <v>0.59071753252728</v>
      </c>
      <c r="AQ90" s="4">
        <v>18.0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52</v>
      </c>
      <c r="E91" s="4">
        <v>50.0</v>
      </c>
      <c r="F91" s="5">
        <v>950.0</v>
      </c>
      <c r="G91" s="9">
        <v>0</v>
      </c>
      <c r="H91" s="9">
        <v>0</v>
      </c>
      <c r="I91" s="4">
        <v>20.0</v>
      </c>
      <c r="J91" s="5">
        <v>380.0</v>
      </c>
      <c r="K91" s="4">
        <v>35.636356</v>
      </c>
      <c r="L91" s="5">
        <v>677.090764</v>
      </c>
      <c r="M91" s="6">
        <v>0.43877538994167</v>
      </c>
      <c r="N91" s="4">
        <v>20.0</v>
      </c>
      <c r="O91" s="4">
        <v>1.818181</v>
      </c>
      <c r="P91" s="4">
        <v>28.0</v>
      </c>
      <c r="Q91" s="4">
        <v>2.545454</v>
      </c>
      <c r="R91" s="4">
        <v>20.0</v>
      </c>
      <c r="S91" s="5">
        <v>380.0</v>
      </c>
      <c r="T91" s="4">
        <v>2.333333</v>
      </c>
      <c r="U91" s="14">
        <v>8.5714297959185</v>
      </c>
      <c r="V91" s="5">
        <v>380.0</v>
      </c>
      <c r="W91" s="5">
        <v>19.0</v>
      </c>
      <c r="X91" s="5">
        <v>850.465</v>
      </c>
      <c r="Y91" s="5">
        <v>42.52325</v>
      </c>
      <c r="Z91" s="5">
        <v>470.465</v>
      </c>
      <c r="AA91" s="5">
        <v>23.52325</v>
      </c>
      <c r="AB91" s="8">
        <v>0.55318561022499</v>
      </c>
      <c r="AC91" s="4">
        <v>20.0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472.0</v>
      </c>
      <c r="AK91" s="5">
        <v>16.857142857143</v>
      </c>
      <c r="AL91" s="5">
        <v>1532.77</v>
      </c>
      <c r="AM91" s="5">
        <v>54.741785714286</v>
      </c>
      <c r="AN91" s="5">
        <v>1060.77</v>
      </c>
      <c r="AO91" s="5">
        <v>37.884642857143</v>
      </c>
      <c r="AP91" s="8">
        <v>0.69206077885136</v>
      </c>
      <c r="AQ91" s="4">
        <v>28.0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52</v>
      </c>
      <c r="E92" s="9">
        <v>0</v>
      </c>
      <c r="F92" s="9">
        <v>0</v>
      </c>
      <c r="G92" s="9">
        <v>0</v>
      </c>
      <c r="H92" s="9">
        <v>0</v>
      </c>
      <c r="I92" s="4">
        <v>20.0</v>
      </c>
      <c r="J92" s="5">
        <v>780.0</v>
      </c>
      <c r="K92" s="4">
        <v>31.818178</v>
      </c>
      <c r="L92" s="5">
        <v>1240.908942</v>
      </c>
      <c r="M92" s="6">
        <v>0.37142849599999</v>
      </c>
      <c r="N92" s="4">
        <v>17.0</v>
      </c>
      <c r="O92" s="4">
        <v>1.545454</v>
      </c>
      <c r="P92" s="4">
        <v>25.0</v>
      </c>
      <c r="Q92" s="4">
        <v>2.272727</v>
      </c>
      <c r="R92" s="4">
        <v>11.0</v>
      </c>
      <c r="S92" s="5">
        <v>429.0</v>
      </c>
      <c r="T92" s="4">
        <v>2.083333</v>
      </c>
      <c r="U92" s="16">
        <v>5.2800008448001</v>
      </c>
      <c r="V92" s="5">
        <v>595.0</v>
      </c>
      <c r="W92" s="5">
        <v>35.0</v>
      </c>
      <c r="X92" s="5">
        <v>1542.06</v>
      </c>
      <c r="Y92" s="5">
        <v>90.709411764706</v>
      </c>
      <c r="Z92" s="5">
        <v>947.06</v>
      </c>
      <c r="AA92" s="5">
        <v>55.709411764706</v>
      </c>
      <c r="AB92" s="8">
        <v>0.61415249730879</v>
      </c>
      <c r="AC92" s="4">
        <v>17.0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987.0</v>
      </c>
      <c r="AK92" s="5">
        <v>39.48</v>
      </c>
      <c r="AL92" s="5">
        <v>2210.265</v>
      </c>
      <c r="AM92" s="5">
        <v>88.4106</v>
      </c>
      <c r="AN92" s="5">
        <v>1223.265</v>
      </c>
      <c r="AO92" s="5">
        <v>48.9306</v>
      </c>
      <c r="AP92" s="8">
        <v>0.55344721108102</v>
      </c>
      <c r="AQ92" s="4">
        <v>25.0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52</v>
      </c>
      <c r="E93" s="4">
        <v>20.0</v>
      </c>
      <c r="F93" s="5">
        <v>580.0</v>
      </c>
      <c r="G93" s="9">
        <v>0</v>
      </c>
      <c r="H93" s="9">
        <v>0</v>
      </c>
      <c r="I93" s="9">
        <v>0</v>
      </c>
      <c r="J93" s="9">
        <v>0</v>
      </c>
      <c r="K93" s="4">
        <v>16.545452</v>
      </c>
      <c r="L93" s="5">
        <v>479.818108</v>
      </c>
      <c r="M93" s="6">
        <v>1.0</v>
      </c>
      <c r="N93" s="4">
        <v>14.0</v>
      </c>
      <c r="O93" s="4">
        <v>2.181818</v>
      </c>
      <c r="P93" s="4">
        <v>13.0</v>
      </c>
      <c r="Q93" s="4">
        <v>1.181818</v>
      </c>
      <c r="R93" s="4">
        <v>14.0</v>
      </c>
      <c r="S93" s="5">
        <v>406.0</v>
      </c>
      <c r="T93" s="4">
        <v>1.083333</v>
      </c>
      <c r="U93" s="14">
        <v>12.92308089941</v>
      </c>
      <c r="V93" s="5">
        <v>406.0</v>
      </c>
      <c r="W93" s="5">
        <v>29.0</v>
      </c>
      <c r="X93" s="5">
        <v>1056.54</v>
      </c>
      <c r="Y93" s="5">
        <v>75.467142857143</v>
      </c>
      <c r="Z93" s="5">
        <v>650.54</v>
      </c>
      <c r="AA93" s="5">
        <v>46.467142857143</v>
      </c>
      <c r="AB93" s="8">
        <v>0.61572680636796</v>
      </c>
      <c r="AC93" s="4">
        <v>14.0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377.0</v>
      </c>
      <c r="AK93" s="5">
        <v>29.0</v>
      </c>
      <c r="AL93" s="5">
        <v>1287.425</v>
      </c>
      <c r="AM93" s="5">
        <v>99.032692307692</v>
      </c>
      <c r="AN93" s="5">
        <v>910.425</v>
      </c>
      <c r="AO93" s="5">
        <v>70.032692307692</v>
      </c>
      <c r="AP93" s="8">
        <v>0.70716740781016</v>
      </c>
      <c r="AQ93" s="4">
        <v>13.0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48</v>
      </c>
      <c r="E94" s="9">
        <v>0</v>
      </c>
      <c r="F94" s="9">
        <v>0</v>
      </c>
      <c r="G94" s="9">
        <v>0</v>
      </c>
      <c r="H94" s="9">
        <v>0</v>
      </c>
      <c r="I94" s="4">
        <v>1.0</v>
      </c>
      <c r="J94" s="5">
        <v>50.0</v>
      </c>
      <c r="K94" s="4">
        <v>1.272726</v>
      </c>
      <c r="L94" s="5">
        <v>63.6363</v>
      </c>
      <c r="M94" s="6">
        <v>0.21428492857064</v>
      </c>
      <c r="N94" s="9">
        <v>0</v>
      </c>
      <c r="O94" s="9">
        <v>0</v>
      </c>
      <c r="P94" s="4">
        <v>1.0</v>
      </c>
      <c r="Q94" s="4">
        <v>0.090909</v>
      </c>
      <c r="R94" s="9">
        <v>0</v>
      </c>
      <c r="S94" s="9">
        <v>0</v>
      </c>
      <c r="T94" s="4">
        <v>0.083333</v>
      </c>
      <c r="U94" s="12" t="s">
        <v>49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5">
        <v>50.0</v>
      </c>
      <c r="AK94" s="5">
        <v>50.0</v>
      </c>
      <c r="AL94" s="5">
        <v>140.187</v>
      </c>
      <c r="AM94" s="5">
        <v>140.187</v>
      </c>
      <c r="AN94" s="5">
        <v>90.187</v>
      </c>
      <c r="AO94" s="5">
        <v>90.187</v>
      </c>
      <c r="AP94" s="8">
        <v>0.6433335473332</v>
      </c>
      <c r="AQ94" s="4">
        <v>1.0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66</v>
      </c>
      <c r="E95" s="4">
        <v>5.0</v>
      </c>
      <c r="F95" s="5">
        <v>195.0</v>
      </c>
      <c r="G95" s="9">
        <v>0</v>
      </c>
      <c r="H95" s="9">
        <v>0</v>
      </c>
      <c r="I95" s="9">
        <v>0</v>
      </c>
      <c r="J95" s="9">
        <v>0</v>
      </c>
      <c r="K95" s="4">
        <v>21.636356</v>
      </c>
      <c r="L95" s="5">
        <v>843.817884</v>
      </c>
      <c r="M95" s="6">
        <v>1.0</v>
      </c>
      <c r="N95" s="9">
        <v>0</v>
      </c>
      <c r="O95" s="4">
        <v>0.090909</v>
      </c>
      <c r="P95" s="4">
        <v>17.0</v>
      </c>
      <c r="Q95" s="4">
        <v>1.545454</v>
      </c>
      <c r="R95" s="4">
        <v>11.0</v>
      </c>
      <c r="S95" s="5">
        <v>429.0</v>
      </c>
      <c r="T95" s="4">
        <v>1.416666</v>
      </c>
      <c r="U95" s="14">
        <v>7.7647095363339</v>
      </c>
      <c r="V95" s="9">
        <v>0</v>
      </c>
      <c r="W95" s="9">
        <v>0</v>
      </c>
      <c r="X95" s="5">
        <v>-39.813</v>
      </c>
      <c r="Y95" s="9">
        <v>0</v>
      </c>
      <c r="Z95" s="5">
        <v>-39.813</v>
      </c>
      <c r="AA95" s="9">
        <v>0</v>
      </c>
      <c r="AB95" s="15">
        <v>0</v>
      </c>
      <c r="AC95" s="9">
        <v>0</v>
      </c>
      <c r="AD95" s="4">
        <v>3.0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663.0</v>
      </c>
      <c r="AK95" s="5">
        <v>39.0</v>
      </c>
      <c r="AL95" s="5">
        <v>2084.115</v>
      </c>
      <c r="AM95" s="5">
        <v>122.595</v>
      </c>
      <c r="AN95" s="5">
        <v>1421.115</v>
      </c>
      <c r="AO95" s="5">
        <v>83.595</v>
      </c>
      <c r="AP95" s="8">
        <v>0.68187935886455</v>
      </c>
      <c r="AQ95" s="4">
        <v>17.0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48</v>
      </c>
      <c r="E96" s="9">
        <v>0</v>
      </c>
      <c r="F96" s="9">
        <v>0</v>
      </c>
      <c r="G96" s="9">
        <v>0</v>
      </c>
      <c r="H96" s="9">
        <v>0</v>
      </c>
      <c r="I96" s="4">
        <v>1.0</v>
      </c>
      <c r="J96" s="5">
        <v>105.0</v>
      </c>
      <c r="K96" s="4">
        <v>1.272726</v>
      </c>
      <c r="L96" s="5">
        <v>133.63623</v>
      </c>
      <c r="M96" s="6">
        <v>0.21428492857064</v>
      </c>
      <c r="N96" s="9">
        <v>0</v>
      </c>
      <c r="O96" s="9">
        <v>0</v>
      </c>
      <c r="P96" s="4">
        <v>1.0</v>
      </c>
      <c r="Q96" s="4">
        <v>0.090909</v>
      </c>
      <c r="R96" s="9">
        <v>0</v>
      </c>
      <c r="S96" s="9">
        <v>0</v>
      </c>
      <c r="T96" s="4">
        <v>0.083333</v>
      </c>
      <c r="U96" s="12" t="s">
        <v>49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105.0</v>
      </c>
      <c r="AK96" s="5">
        <v>105.0</v>
      </c>
      <c r="AL96" s="5">
        <v>420.561</v>
      </c>
      <c r="AM96" s="5">
        <v>420.561</v>
      </c>
      <c r="AN96" s="5">
        <v>315.561</v>
      </c>
      <c r="AO96" s="5">
        <v>315.561</v>
      </c>
      <c r="AP96" s="8">
        <v>0.75033348313324</v>
      </c>
      <c r="AQ96" s="4">
        <v>1.0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48</v>
      </c>
      <c r="E97" s="9">
        <v>0</v>
      </c>
      <c r="F97" s="9">
        <v>0</v>
      </c>
      <c r="G97" s="9">
        <v>0</v>
      </c>
      <c r="H97" s="9">
        <v>0</v>
      </c>
      <c r="I97" s="4">
        <v>2.0</v>
      </c>
      <c r="J97" s="5">
        <v>580.0</v>
      </c>
      <c r="K97" s="4">
        <v>3.818178</v>
      </c>
      <c r="L97" s="5">
        <v>1107.27162</v>
      </c>
      <c r="M97" s="6">
        <v>0.47618995238043</v>
      </c>
      <c r="N97" s="9">
        <v>0</v>
      </c>
      <c r="O97" s="9">
        <v>0</v>
      </c>
      <c r="P97" s="4">
        <v>2.0</v>
      </c>
      <c r="Q97" s="4">
        <v>0.272727</v>
      </c>
      <c r="R97" s="9">
        <v>0</v>
      </c>
      <c r="S97" s="9">
        <v>0</v>
      </c>
      <c r="T97" s="4">
        <v>0.166666</v>
      </c>
      <c r="U97" s="12" t="s">
        <v>49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580.0</v>
      </c>
      <c r="AK97" s="5">
        <v>290.0</v>
      </c>
      <c r="AL97" s="5">
        <v>233.64</v>
      </c>
      <c r="AM97" s="5">
        <v>116.82</v>
      </c>
      <c r="AN97" s="5">
        <v>-346.36</v>
      </c>
      <c r="AO97" s="5">
        <v>-173.18</v>
      </c>
      <c r="AP97" s="17">
        <v>-1.482451634994</v>
      </c>
      <c r="AQ97" s="4">
        <v>2.0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48</v>
      </c>
      <c r="E98" s="4">
        <v>12.0</v>
      </c>
      <c r="F98" s="5">
        <v>3540.0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1">
        <v>0</v>
      </c>
      <c r="N98" s="4">
        <v>1.0</v>
      </c>
      <c r="O98" s="4">
        <v>0.090909</v>
      </c>
      <c r="P98" s="9">
        <v>0</v>
      </c>
      <c r="Q98" s="9">
        <v>0</v>
      </c>
      <c r="R98" s="4">
        <v>2.0</v>
      </c>
      <c r="S98" s="5">
        <v>590.0</v>
      </c>
      <c r="T98" s="9">
        <v>0</v>
      </c>
      <c r="U98" s="12" t="s">
        <v>49</v>
      </c>
      <c r="V98" s="5">
        <v>295.0</v>
      </c>
      <c r="W98" s="5">
        <v>295.0</v>
      </c>
      <c r="X98" s="5">
        <v>373.832</v>
      </c>
      <c r="Y98" s="5">
        <v>373.832</v>
      </c>
      <c r="Z98" s="5">
        <v>78.832</v>
      </c>
      <c r="AA98" s="5">
        <v>78.832</v>
      </c>
      <c r="AB98" s="19">
        <v>0.21087547347472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1" t="s">
        <v>241</v>
      </c>
      <c r="B99" s="1"/>
      <c r="C99" s="1"/>
      <c r="D99" s="1"/>
      <c r="E99" s="1"/>
      <c r="F99" s="20">
        <f>SUM(F3:F99)</f>
        <v>695087</v>
      </c>
      <c r="G99" s="1"/>
      <c r="H99" s="20">
        <f>SUM(H3:H99)</f>
        <v>550157</v>
      </c>
      <c r="I99" s="1"/>
      <c r="J99" s="20">
        <f>SUM(J3:J99)</f>
        <v>381677</v>
      </c>
      <c r="K99" s="1"/>
      <c r="L99" s="20">
        <f>SUM(L3:L99)</f>
        <v>489551.970292</v>
      </c>
      <c r="M99" s="1"/>
      <c r="N99" s="1"/>
      <c r="O99" s="1"/>
      <c r="P99" s="1"/>
      <c r="Q99" s="1"/>
      <c r="R99" s="1"/>
      <c r="S99" s="20">
        <f>SUM(S3:S99)</f>
        <v>306869.7</v>
      </c>
      <c r="T99" s="1"/>
      <c r="U99" s="1"/>
      <c r="V99" s="20">
        <f>SUM(V3:V99)</f>
        <v>489507.076</v>
      </c>
      <c r="W99" s="1"/>
      <c r="X99" s="20">
        <f>SUM(X3:X99)</f>
        <v>999915.264</v>
      </c>
      <c r="Y99" s="1"/>
      <c r="Z99" s="20">
        <f>SUM(Z3:Z99)</f>
        <v>510408.188</v>
      </c>
      <c r="AA99" s="1"/>
      <c r="AB99" s="1"/>
      <c r="AC99" s="1"/>
      <c r="AD99" s="1"/>
      <c r="AE99" s="1"/>
      <c r="AF99" s="20">
        <f>SUM(AF3:AF99)</f>
        <v>0</v>
      </c>
      <c r="AG99" s="1"/>
      <c r="AH99" s="1"/>
      <c r="AI99" s="20">
        <f>SUM(AI3:AI99)</f>
        <v>50</v>
      </c>
      <c r="AJ99" s="20">
        <f>SUM(AJ3:V99)</f>
        <v>4410895.6697627</v>
      </c>
      <c r="AK99" s="1"/>
      <c r="AL99" s="20">
        <f>SUM(AL3:AL99)</f>
        <v>718045.274</v>
      </c>
      <c r="AM99" s="1"/>
      <c r="AN99" s="20">
        <f>SUM(AN3:AN99)</f>
        <v>332406.088</v>
      </c>
      <c r="AO99" s="1"/>
      <c r="AP99" s="1"/>
      <c r="AQ99" s="1"/>
      <c r="AR99" s="1"/>
      <c r="AS99" s="1"/>
      <c r="AT99" s="20">
        <f>SUM(AT3:AT99)</f>
        <v>0</v>
      </c>
      <c r="AU99" s="1"/>
      <c r="AV99" s="1"/>
      <c r="AW99" s="20">
        <f>SUM(AW3:AW99)</f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99:D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58"/>
  <sheetViews>
    <sheetView tabSelected="0" workbookViewId="0" showGridLines="true" showRowColHeaders="1">
      <pane ySplit="1" topLeftCell="A2" activePane="bottomLeft" state="frozen"/>
      <selection pane="bottomLeft" activeCell="I58" sqref="I5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1</v>
      </c>
      <c r="G1" s="1" t="s">
        <v>2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251</v>
      </c>
      <c r="C2" s="3" t="s">
        <v>252</v>
      </c>
      <c r="D2" s="21">
        <v>44686.0</v>
      </c>
      <c r="E2" t="s">
        <v>253</v>
      </c>
      <c r="F2" s="3" t="s">
        <v>61</v>
      </c>
      <c r="G2" t="s">
        <v>62</v>
      </c>
      <c r="H2" s="3" t="s">
        <v>254</v>
      </c>
      <c r="I2" s="4">
        <v>1.0</v>
      </c>
      <c r="J2" t="s">
        <v>255</v>
      </c>
      <c r="K2" t="s">
        <v>256</v>
      </c>
      <c r="L2" t="s">
        <v>257</v>
      </c>
    </row>
    <row r="3" spans="1:36">
      <c r="A3" s="3">
        <v>2</v>
      </c>
      <c r="B3" t="s">
        <v>258</v>
      </c>
      <c r="C3" s="3" t="s">
        <v>259</v>
      </c>
      <c r="D3" s="21">
        <v>44846.0</v>
      </c>
      <c r="E3" t="s">
        <v>260</v>
      </c>
      <c r="F3" s="3" t="s">
        <v>61</v>
      </c>
      <c r="G3" t="s">
        <v>62</v>
      </c>
      <c r="H3" s="3" t="s">
        <v>254</v>
      </c>
      <c r="I3" s="4">
        <v>1.0</v>
      </c>
      <c r="J3" t="s">
        <v>255</v>
      </c>
      <c r="K3" t="s">
        <v>261</v>
      </c>
      <c r="L3" t="s">
        <v>262</v>
      </c>
    </row>
    <row r="4" spans="1:36">
      <c r="A4" s="3">
        <v>3</v>
      </c>
      <c r="B4" t="s">
        <v>258</v>
      </c>
      <c r="C4" s="3" t="s">
        <v>263</v>
      </c>
      <c r="D4" s="21">
        <v>44887.0</v>
      </c>
      <c r="E4" t="s">
        <v>260</v>
      </c>
      <c r="F4" s="3" t="s">
        <v>61</v>
      </c>
      <c r="G4" t="s">
        <v>62</v>
      </c>
      <c r="H4" s="3" t="s">
        <v>254</v>
      </c>
      <c r="I4" s="4">
        <v>1.0</v>
      </c>
      <c r="J4" t="s">
        <v>255</v>
      </c>
      <c r="K4" t="s">
        <v>261</v>
      </c>
      <c r="L4" t="s">
        <v>264</v>
      </c>
    </row>
    <row r="5" spans="1:36">
      <c r="A5" s="3">
        <v>4</v>
      </c>
      <c r="B5" t="s">
        <v>258</v>
      </c>
      <c r="C5" s="3" t="s">
        <v>265</v>
      </c>
      <c r="D5" s="21">
        <v>44909.0</v>
      </c>
      <c r="E5" t="s">
        <v>260</v>
      </c>
      <c r="F5" s="3" t="s">
        <v>61</v>
      </c>
      <c r="G5" t="s">
        <v>62</v>
      </c>
      <c r="H5" s="3" t="s">
        <v>254</v>
      </c>
      <c r="I5" s="4">
        <v>1.0</v>
      </c>
      <c r="J5" t="s">
        <v>255</v>
      </c>
      <c r="K5" t="s">
        <v>261</v>
      </c>
      <c r="L5" t="s">
        <v>266</v>
      </c>
    </row>
    <row r="6" spans="1:36">
      <c r="A6" s="3">
        <v>5</v>
      </c>
      <c r="B6" t="s">
        <v>267</v>
      </c>
      <c r="C6" s="3" t="s">
        <v>268</v>
      </c>
      <c r="D6" s="21">
        <v>45027.0</v>
      </c>
      <c r="E6" t="s">
        <v>269</v>
      </c>
      <c r="F6" s="3" t="s">
        <v>61</v>
      </c>
      <c r="G6" t="s">
        <v>62</v>
      </c>
      <c r="H6" s="3" t="s">
        <v>254</v>
      </c>
      <c r="I6" s="4">
        <v>1.0</v>
      </c>
      <c r="J6" t="s">
        <v>255</v>
      </c>
      <c r="K6" t="s">
        <v>261</v>
      </c>
      <c r="L6" t="s">
        <v>266</v>
      </c>
    </row>
    <row r="7" spans="1:36">
      <c r="A7" s="3">
        <v>6</v>
      </c>
      <c r="B7" t="s">
        <v>258</v>
      </c>
      <c r="C7" s="3" t="s">
        <v>270</v>
      </c>
      <c r="D7" s="21">
        <v>44586.0</v>
      </c>
      <c r="E7" t="s">
        <v>271</v>
      </c>
      <c r="F7" s="3" t="s">
        <v>43</v>
      </c>
      <c r="G7" t="s">
        <v>44</v>
      </c>
      <c r="H7" s="3" t="s">
        <v>254</v>
      </c>
      <c r="I7" s="4">
        <v>1.0</v>
      </c>
      <c r="J7" t="s">
        <v>272</v>
      </c>
      <c r="K7"/>
      <c r="L7"/>
    </row>
    <row r="8" spans="1:36">
      <c r="A8" s="3">
        <v>7</v>
      </c>
      <c r="B8" t="s">
        <v>251</v>
      </c>
      <c r="C8" s="3" t="s">
        <v>273</v>
      </c>
      <c r="D8" s="21">
        <v>44737.0</v>
      </c>
      <c r="E8" t="s">
        <v>274</v>
      </c>
      <c r="F8" s="3" t="s">
        <v>43</v>
      </c>
      <c r="G8" t="s">
        <v>44</v>
      </c>
      <c r="H8" s="3" t="s">
        <v>254</v>
      </c>
      <c r="I8" s="4">
        <v>2.0</v>
      </c>
      <c r="J8" t="s">
        <v>272</v>
      </c>
      <c r="K8" t="s">
        <v>275</v>
      </c>
      <c r="L8" t="s">
        <v>266</v>
      </c>
    </row>
    <row r="9" spans="1:36">
      <c r="A9" s="3">
        <v>8</v>
      </c>
      <c r="B9" t="s">
        <v>251</v>
      </c>
      <c r="C9" s="3" t="s">
        <v>276</v>
      </c>
      <c r="D9" s="21">
        <v>44737.0</v>
      </c>
      <c r="E9" t="s">
        <v>277</v>
      </c>
      <c r="F9" s="3" t="s">
        <v>43</v>
      </c>
      <c r="G9" t="s">
        <v>44</v>
      </c>
      <c r="H9" s="3" t="s">
        <v>254</v>
      </c>
      <c r="I9" s="4">
        <v>1.0</v>
      </c>
      <c r="J9" t="s">
        <v>272</v>
      </c>
      <c r="K9" t="s">
        <v>256</v>
      </c>
      <c r="L9" t="s">
        <v>266</v>
      </c>
    </row>
    <row r="10" spans="1:36">
      <c r="A10" s="3">
        <v>9</v>
      </c>
      <c r="B10" t="s">
        <v>251</v>
      </c>
      <c r="C10" s="3" t="s">
        <v>278</v>
      </c>
      <c r="D10" s="21">
        <v>44772.0</v>
      </c>
      <c r="E10" t="s">
        <v>279</v>
      </c>
      <c r="F10" s="3" t="s">
        <v>43</v>
      </c>
      <c r="G10" t="s">
        <v>44</v>
      </c>
      <c r="H10" s="3" t="s">
        <v>254</v>
      </c>
      <c r="I10" s="4">
        <v>1.0</v>
      </c>
      <c r="J10" t="s">
        <v>272</v>
      </c>
      <c r="K10" t="s">
        <v>256</v>
      </c>
      <c r="L10" t="s">
        <v>266</v>
      </c>
    </row>
    <row r="11" spans="1:36">
      <c r="A11" s="3">
        <v>10</v>
      </c>
      <c r="B11" t="s">
        <v>280</v>
      </c>
      <c r="C11" s="3" t="s">
        <v>281</v>
      </c>
      <c r="D11" s="21">
        <v>44806.0</v>
      </c>
      <c r="E11" t="s">
        <v>282</v>
      </c>
      <c r="F11" s="3" t="s">
        <v>43</v>
      </c>
      <c r="G11" t="s">
        <v>44</v>
      </c>
      <c r="H11" s="3" t="s">
        <v>254</v>
      </c>
      <c r="I11" s="4">
        <v>1.0</v>
      </c>
      <c r="J11" t="s">
        <v>272</v>
      </c>
      <c r="K11" t="s">
        <v>256</v>
      </c>
      <c r="L11" t="s">
        <v>283</v>
      </c>
    </row>
    <row r="12" spans="1:36">
      <c r="A12" s="3">
        <v>11</v>
      </c>
      <c r="B12" t="s">
        <v>280</v>
      </c>
      <c r="C12" s="3" t="s">
        <v>284</v>
      </c>
      <c r="D12" s="21">
        <v>44810.0</v>
      </c>
      <c r="E12" t="s">
        <v>285</v>
      </c>
      <c r="F12" s="3" t="s">
        <v>43</v>
      </c>
      <c r="G12" t="s">
        <v>44</v>
      </c>
      <c r="H12" s="3" t="s">
        <v>254</v>
      </c>
      <c r="I12" s="4">
        <v>1.0</v>
      </c>
      <c r="J12" t="s">
        <v>272</v>
      </c>
      <c r="K12" t="s">
        <v>256</v>
      </c>
      <c r="L12" t="s">
        <v>286</v>
      </c>
    </row>
    <row r="13" spans="1:36">
      <c r="A13" s="3">
        <v>12</v>
      </c>
      <c r="B13" t="s">
        <v>267</v>
      </c>
      <c r="C13" s="3" t="s">
        <v>287</v>
      </c>
      <c r="D13" s="21">
        <v>44916.0</v>
      </c>
      <c r="E13" t="s">
        <v>288</v>
      </c>
      <c r="F13" s="3" t="s">
        <v>43</v>
      </c>
      <c r="G13" t="s">
        <v>44</v>
      </c>
      <c r="H13" s="3" t="s">
        <v>254</v>
      </c>
      <c r="I13" s="4">
        <v>1.0</v>
      </c>
      <c r="J13" t="s">
        <v>272</v>
      </c>
      <c r="K13" t="s">
        <v>261</v>
      </c>
      <c r="L13" t="s">
        <v>289</v>
      </c>
    </row>
    <row r="14" spans="1:36">
      <c r="A14" s="3">
        <v>13</v>
      </c>
      <c r="B14" t="s">
        <v>280</v>
      </c>
      <c r="C14" s="3" t="s">
        <v>290</v>
      </c>
      <c r="D14" s="21">
        <v>44952.0</v>
      </c>
      <c r="E14" t="s">
        <v>291</v>
      </c>
      <c r="F14" s="3" t="s">
        <v>43</v>
      </c>
      <c r="G14" t="s">
        <v>44</v>
      </c>
      <c r="H14" s="3" t="s">
        <v>254</v>
      </c>
      <c r="I14" s="4">
        <v>1.0</v>
      </c>
      <c r="J14" t="s">
        <v>272</v>
      </c>
      <c r="K14" t="s">
        <v>256</v>
      </c>
      <c r="L14" t="s">
        <v>292</v>
      </c>
    </row>
    <row r="15" spans="1:36">
      <c r="A15" s="3">
        <v>14</v>
      </c>
      <c r="B15" t="s">
        <v>267</v>
      </c>
      <c r="C15" s="3" t="s">
        <v>293</v>
      </c>
      <c r="D15" s="21">
        <v>45005.0</v>
      </c>
      <c r="E15" t="s">
        <v>294</v>
      </c>
      <c r="F15" s="3" t="s">
        <v>43</v>
      </c>
      <c r="G15" t="s">
        <v>44</v>
      </c>
      <c r="H15" s="3" t="s">
        <v>254</v>
      </c>
      <c r="I15" s="4">
        <v>1.0</v>
      </c>
      <c r="J15" t="s">
        <v>272</v>
      </c>
      <c r="K15" t="s">
        <v>261</v>
      </c>
      <c r="L15" t="s">
        <v>266</v>
      </c>
    </row>
    <row r="16" spans="1:36">
      <c r="A16" s="3">
        <v>15</v>
      </c>
      <c r="B16" t="s">
        <v>251</v>
      </c>
      <c r="C16" s="3" t="s">
        <v>295</v>
      </c>
      <c r="D16" s="21">
        <v>45056.0</v>
      </c>
      <c r="E16" t="s">
        <v>296</v>
      </c>
      <c r="F16" s="3" t="s">
        <v>43</v>
      </c>
      <c r="G16" t="s">
        <v>44</v>
      </c>
      <c r="H16" s="3" t="s">
        <v>254</v>
      </c>
      <c r="I16" s="4">
        <v>3.0</v>
      </c>
      <c r="J16" t="s">
        <v>272</v>
      </c>
      <c r="K16" t="s">
        <v>256</v>
      </c>
      <c r="L16" t="s">
        <v>297</v>
      </c>
    </row>
    <row r="17" spans="1:36">
      <c r="A17" s="3">
        <v>16</v>
      </c>
      <c r="B17" t="s">
        <v>251</v>
      </c>
      <c r="C17" s="3" t="s">
        <v>298</v>
      </c>
      <c r="D17" s="21">
        <v>45090.0</v>
      </c>
      <c r="E17" t="s">
        <v>296</v>
      </c>
      <c r="F17" s="3" t="s">
        <v>43</v>
      </c>
      <c r="G17" t="s">
        <v>44</v>
      </c>
      <c r="H17" s="3" t="s">
        <v>254</v>
      </c>
      <c r="I17" s="4">
        <v>1.0</v>
      </c>
      <c r="J17" t="s">
        <v>272</v>
      </c>
      <c r="K17" t="s">
        <v>256</v>
      </c>
      <c r="L17" t="s">
        <v>289</v>
      </c>
    </row>
    <row r="18" spans="1:36">
      <c r="A18" s="3">
        <v>17</v>
      </c>
      <c r="B18" t="s">
        <v>251</v>
      </c>
      <c r="C18" s="3" t="s">
        <v>299</v>
      </c>
      <c r="D18" s="21">
        <v>45094.0</v>
      </c>
      <c r="E18" t="s">
        <v>296</v>
      </c>
      <c r="F18" s="3" t="s">
        <v>43</v>
      </c>
      <c r="G18" t="s">
        <v>44</v>
      </c>
      <c r="H18" s="3" t="s">
        <v>254</v>
      </c>
      <c r="I18" s="4">
        <v>3.0</v>
      </c>
      <c r="J18" t="s">
        <v>272</v>
      </c>
      <c r="K18" t="s">
        <v>256</v>
      </c>
      <c r="L18" t="s">
        <v>266</v>
      </c>
    </row>
    <row r="19" spans="1:36">
      <c r="A19" s="3">
        <v>18</v>
      </c>
      <c r="B19" t="s">
        <v>258</v>
      </c>
      <c r="C19" s="3" t="s">
        <v>300</v>
      </c>
      <c r="D19" s="21">
        <v>45266.0</v>
      </c>
      <c r="E19" t="s">
        <v>301</v>
      </c>
      <c r="F19" s="3" t="s">
        <v>43</v>
      </c>
      <c r="G19" t="s">
        <v>44</v>
      </c>
      <c r="H19" s="3" t="s">
        <v>254</v>
      </c>
      <c r="I19" s="4">
        <v>1.0</v>
      </c>
      <c r="J19" t="s">
        <v>272</v>
      </c>
      <c r="K19" t="s">
        <v>261</v>
      </c>
      <c r="L19" t="s">
        <v>302</v>
      </c>
    </row>
    <row r="20" spans="1:36">
      <c r="A20" s="3">
        <v>19</v>
      </c>
      <c r="B20" t="s">
        <v>303</v>
      </c>
      <c r="C20" s="3" t="s">
        <v>304</v>
      </c>
      <c r="D20" s="21">
        <v>44588.0</v>
      </c>
      <c r="E20" t="s">
        <v>305</v>
      </c>
      <c r="F20" s="3" t="s">
        <v>85</v>
      </c>
      <c r="G20" t="s">
        <v>86</v>
      </c>
      <c r="H20" s="3" t="s">
        <v>254</v>
      </c>
      <c r="I20" s="4">
        <v>1.0</v>
      </c>
      <c r="J20" t="s">
        <v>272</v>
      </c>
      <c r="K20" t="s">
        <v>306</v>
      </c>
      <c r="L20" t="s">
        <v>307</v>
      </c>
    </row>
    <row r="21" spans="1:36">
      <c r="A21" s="3">
        <v>20</v>
      </c>
      <c r="B21" t="s">
        <v>303</v>
      </c>
      <c r="C21" s="3" t="s">
        <v>308</v>
      </c>
      <c r="D21" s="21">
        <v>44620.0</v>
      </c>
      <c r="E21" t="s">
        <v>305</v>
      </c>
      <c r="F21" s="3" t="s">
        <v>85</v>
      </c>
      <c r="G21" t="s">
        <v>86</v>
      </c>
      <c r="H21" s="3" t="s">
        <v>254</v>
      </c>
      <c r="I21" s="4">
        <v>1.0</v>
      </c>
      <c r="J21" t="s">
        <v>272</v>
      </c>
      <c r="K21" t="s">
        <v>261</v>
      </c>
      <c r="L21" t="s">
        <v>309</v>
      </c>
    </row>
    <row r="22" spans="1:36">
      <c r="A22" s="3">
        <v>21</v>
      </c>
      <c r="B22" t="s">
        <v>251</v>
      </c>
      <c r="C22" s="3" t="s">
        <v>276</v>
      </c>
      <c r="D22" s="21">
        <v>44737.0</v>
      </c>
      <c r="E22" t="s">
        <v>277</v>
      </c>
      <c r="F22" s="3" t="s">
        <v>85</v>
      </c>
      <c r="G22" t="s">
        <v>86</v>
      </c>
      <c r="H22" s="3" t="s">
        <v>254</v>
      </c>
      <c r="I22" s="4">
        <v>1.0</v>
      </c>
      <c r="J22" t="s">
        <v>272</v>
      </c>
      <c r="K22" t="s">
        <v>256</v>
      </c>
      <c r="L22" t="s">
        <v>310</v>
      </c>
    </row>
    <row r="23" spans="1:36">
      <c r="A23" s="3">
        <v>22</v>
      </c>
      <c r="B23" t="s">
        <v>258</v>
      </c>
      <c r="C23" s="3" t="s">
        <v>311</v>
      </c>
      <c r="D23" s="21">
        <v>45017.0</v>
      </c>
      <c r="E23" t="s">
        <v>312</v>
      </c>
      <c r="F23" s="3" t="s">
        <v>85</v>
      </c>
      <c r="G23" t="s">
        <v>86</v>
      </c>
      <c r="H23" s="3" t="s">
        <v>254</v>
      </c>
      <c r="I23" s="4">
        <v>1.0</v>
      </c>
      <c r="J23" t="s">
        <v>272</v>
      </c>
      <c r="K23" t="s">
        <v>256</v>
      </c>
      <c r="L23" t="s">
        <v>313</v>
      </c>
    </row>
    <row r="24" spans="1:36">
      <c r="A24" s="3">
        <v>23</v>
      </c>
      <c r="B24" t="s">
        <v>258</v>
      </c>
      <c r="C24" s="3" t="s">
        <v>314</v>
      </c>
      <c r="D24" s="21">
        <v>45155.0</v>
      </c>
      <c r="E24" t="s">
        <v>315</v>
      </c>
      <c r="F24" s="3" t="s">
        <v>85</v>
      </c>
      <c r="G24" t="s">
        <v>86</v>
      </c>
      <c r="H24" s="3" t="s">
        <v>254</v>
      </c>
      <c r="I24" s="4">
        <v>2.0</v>
      </c>
      <c r="J24" t="s">
        <v>272</v>
      </c>
      <c r="K24" t="s">
        <v>261</v>
      </c>
      <c r="L24" t="s">
        <v>316</v>
      </c>
    </row>
    <row r="25" spans="1:36">
      <c r="A25" s="3">
        <v>24</v>
      </c>
      <c r="B25" t="s">
        <v>258</v>
      </c>
      <c r="C25" s="3" t="s">
        <v>317</v>
      </c>
      <c r="D25" s="21">
        <v>44623.0</v>
      </c>
      <c r="E25" t="s">
        <v>318</v>
      </c>
      <c r="F25" s="3" t="s">
        <v>103</v>
      </c>
      <c r="G25" t="s">
        <v>104</v>
      </c>
      <c r="H25" s="3" t="s">
        <v>254</v>
      </c>
      <c r="I25" s="4">
        <v>1.0</v>
      </c>
      <c r="J25" t="s">
        <v>272</v>
      </c>
      <c r="K25" t="s">
        <v>261</v>
      </c>
      <c r="L25"/>
    </row>
    <row r="26" spans="1:36">
      <c r="A26" s="3">
        <v>25</v>
      </c>
      <c r="B26" t="s">
        <v>267</v>
      </c>
      <c r="C26" s="3" t="s">
        <v>319</v>
      </c>
      <c r="D26" s="21">
        <v>44648.0</v>
      </c>
      <c r="E26" t="s">
        <v>320</v>
      </c>
      <c r="F26" s="3" t="s">
        <v>103</v>
      </c>
      <c r="G26" t="s">
        <v>104</v>
      </c>
      <c r="H26" s="3" t="s">
        <v>254</v>
      </c>
      <c r="I26" s="4">
        <v>1.0</v>
      </c>
      <c r="J26" t="s">
        <v>272</v>
      </c>
      <c r="K26" t="s">
        <v>261</v>
      </c>
      <c r="L26" t="s">
        <v>321</v>
      </c>
    </row>
    <row r="27" spans="1:36">
      <c r="A27" s="3">
        <v>26</v>
      </c>
      <c r="B27" t="s">
        <v>267</v>
      </c>
      <c r="C27" s="3" t="s">
        <v>322</v>
      </c>
      <c r="D27" s="21">
        <v>44792.0</v>
      </c>
      <c r="E27" t="s">
        <v>323</v>
      </c>
      <c r="F27" s="3" t="s">
        <v>103</v>
      </c>
      <c r="G27" t="s">
        <v>104</v>
      </c>
      <c r="H27" s="3" t="s">
        <v>254</v>
      </c>
      <c r="I27" s="4">
        <v>1.0</v>
      </c>
      <c r="J27" t="s">
        <v>272</v>
      </c>
      <c r="K27" t="s">
        <v>261</v>
      </c>
      <c r="L27" t="s">
        <v>289</v>
      </c>
    </row>
    <row r="28" spans="1:36">
      <c r="A28" s="3">
        <v>27</v>
      </c>
      <c r="B28" t="s">
        <v>258</v>
      </c>
      <c r="C28" s="3" t="s">
        <v>324</v>
      </c>
      <c r="D28" s="21">
        <v>44837.0</v>
      </c>
      <c r="E28" t="s">
        <v>325</v>
      </c>
      <c r="F28" s="3" t="s">
        <v>103</v>
      </c>
      <c r="G28" t="s">
        <v>104</v>
      </c>
      <c r="H28" s="3" t="s">
        <v>254</v>
      </c>
      <c r="I28" s="4">
        <v>1.0</v>
      </c>
      <c r="J28" t="s">
        <v>272</v>
      </c>
      <c r="K28" t="s">
        <v>261</v>
      </c>
      <c r="L28" t="s">
        <v>266</v>
      </c>
    </row>
    <row r="29" spans="1:36">
      <c r="A29" s="3">
        <v>28</v>
      </c>
      <c r="B29" t="s">
        <v>258</v>
      </c>
      <c r="C29" s="3" t="s">
        <v>326</v>
      </c>
      <c r="D29" s="21">
        <v>44867.0</v>
      </c>
      <c r="E29" t="s">
        <v>327</v>
      </c>
      <c r="F29" s="3" t="s">
        <v>103</v>
      </c>
      <c r="G29" t="s">
        <v>104</v>
      </c>
      <c r="H29" s="3" t="s">
        <v>254</v>
      </c>
      <c r="I29" s="4">
        <v>2.0</v>
      </c>
      <c r="J29" t="s">
        <v>272</v>
      </c>
      <c r="K29" t="s">
        <v>261</v>
      </c>
      <c r="L29" t="s">
        <v>266</v>
      </c>
    </row>
    <row r="30" spans="1:36">
      <c r="A30" s="3">
        <v>29</v>
      </c>
      <c r="B30" t="s">
        <v>258</v>
      </c>
      <c r="C30" s="3" t="s">
        <v>328</v>
      </c>
      <c r="D30" s="21">
        <v>44916.0</v>
      </c>
      <c r="E30" t="s">
        <v>327</v>
      </c>
      <c r="F30" s="3" t="s">
        <v>103</v>
      </c>
      <c r="G30" t="s">
        <v>104</v>
      </c>
      <c r="H30" s="3" t="s">
        <v>254</v>
      </c>
      <c r="I30" s="4">
        <v>2.0</v>
      </c>
      <c r="J30" t="s">
        <v>272</v>
      </c>
      <c r="K30" t="s">
        <v>261</v>
      </c>
      <c r="L30" t="s">
        <v>289</v>
      </c>
    </row>
    <row r="31" spans="1:36">
      <c r="A31" s="3">
        <v>30</v>
      </c>
      <c r="B31" t="s">
        <v>258</v>
      </c>
      <c r="C31" s="3" t="s">
        <v>329</v>
      </c>
      <c r="D31" s="21">
        <v>45016.0</v>
      </c>
      <c r="E31" t="s">
        <v>330</v>
      </c>
      <c r="F31" s="3" t="s">
        <v>103</v>
      </c>
      <c r="G31" t="s">
        <v>104</v>
      </c>
      <c r="H31" s="3" t="s">
        <v>254</v>
      </c>
      <c r="I31" s="4">
        <v>1.0</v>
      </c>
      <c r="J31" t="s">
        <v>272</v>
      </c>
      <c r="K31" t="s">
        <v>256</v>
      </c>
      <c r="L31" t="s">
        <v>257</v>
      </c>
    </row>
    <row r="32" spans="1:36">
      <c r="A32" s="3">
        <v>31</v>
      </c>
      <c r="B32" t="s">
        <v>258</v>
      </c>
      <c r="C32" s="3" t="s">
        <v>317</v>
      </c>
      <c r="D32" s="21">
        <v>44623.0</v>
      </c>
      <c r="E32" t="s">
        <v>318</v>
      </c>
      <c r="F32" s="3" t="s">
        <v>119</v>
      </c>
      <c r="G32" t="s">
        <v>120</v>
      </c>
      <c r="H32" s="3" t="s">
        <v>254</v>
      </c>
      <c r="I32" s="4">
        <v>1.0</v>
      </c>
      <c r="J32" t="s">
        <v>272</v>
      </c>
      <c r="K32" t="s">
        <v>261</v>
      </c>
      <c r="L32" t="s">
        <v>331</v>
      </c>
    </row>
    <row r="33" spans="1:36">
      <c r="A33" s="3">
        <v>32</v>
      </c>
      <c r="B33" t="s">
        <v>258</v>
      </c>
      <c r="C33" s="3" t="s">
        <v>332</v>
      </c>
      <c r="D33" s="21">
        <v>44887.0</v>
      </c>
      <c r="E33" t="s">
        <v>333</v>
      </c>
      <c r="F33" s="3" t="s">
        <v>119</v>
      </c>
      <c r="G33" t="s">
        <v>120</v>
      </c>
      <c r="H33" s="3" t="s">
        <v>254</v>
      </c>
      <c r="I33" s="4">
        <v>1.0</v>
      </c>
      <c r="J33" t="s">
        <v>272</v>
      </c>
      <c r="K33" t="s">
        <v>261</v>
      </c>
      <c r="L33" t="s">
        <v>266</v>
      </c>
    </row>
    <row r="34" spans="1:36">
      <c r="A34" s="3">
        <v>33</v>
      </c>
      <c r="B34" t="s">
        <v>258</v>
      </c>
      <c r="C34" s="3" t="s">
        <v>334</v>
      </c>
      <c r="D34" s="21">
        <v>44987.0</v>
      </c>
      <c r="E34" t="s">
        <v>335</v>
      </c>
      <c r="F34" s="3" t="s">
        <v>119</v>
      </c>
      <c r="G34" t="s">
        <v>120</v>
      </c>
      <c r="H34" s="3" t="s">
        <v>254</v>
      </c>
      <c r="I34" s="4">
        <v>1.0</v>
      </c>
      <c r="J34" t="s">
        <v>272</v>
      </c>
      <c r="K34" t="s">
        <v>261</v>
      </c>
      <c r="L34" t="s">
        <v>336</v>
      </c>
    </row>
    <row r="35" spans="1:36">
      <c r="A35" s="3">
        <v>34</v>
      </c>
      <c r="B35" t="s">
        <v>258</v>
      </c>
      <c r="C35" s="3" t="s">
        <v>337</v>
      </c>
      <c r="D35" s="21">
        <v>45057.0</v>
      </c>
      <c r="E35" t="s">
        <v>338</v>
      </c>
      <c r="F35" s="3" t="s">
        <v>119</v>
      </c>
      <c r="G35" t="s">
        <v>120</v>
      </c>
      <c r="H35" s="3" t="s">
        <v>254</v>
      </c>
      <c r="I35" s="4">
        <v>1.0</v>
      </c>
      <c r="J35" t="s">
        <v>272</v>
      </c>
      <c r="K35" t="s">
        <v>261</v>
      </c>
      <c r="L35" t="s">
        <v>339</v>
      </c>
    </row>
    <row r="36" spans="1:36">
      <c r="A36" s="3">
        <v>35</v>
      </c>
      <c r="B36" t="s">
        <v>258</v>
      </c>
      <c r="C36" s="3" t="s">
        <v>340</v>
      </c>
      <c r="D36" s="21">
        <v>45058.0</v>
      </c>
      <c r="E36" t="s">
        <v>341</v>
      </c>
      <c r="F36" s="3" t="s">
        <v>119</v>
      </c>
      <c r="G36" t="s">
        <v>120</v>
      </c>
      <c r="H36" s="3" t="s">
        <v>254</v>
      </c>
      <c r="I36" s="4">
        <v>1.0</v>
      </c>
      <c r="J36" t="s">
        <v>272</v>
      </c>
      <c r="K36" t="s">
        <v>261</v>
      </c>
      <c r="L36" t="s">
        <v>342</v>
      </c>
    </row>
    <row r="37" spans="1:36">
      <c r="A37" s="3">
        <v>36</v>
      </c>
      <c r="B37" t="s">
        <v>267</v>
      </c>
      <c r="C37" s="3" t="s">
        <v>343</v>
      </c>
      <c r="D37" s="21">
        <v>45077.0</v>
      </c>
      <c r="E37" t="s">
        <v>344</v>
      </c>
      <c r="F37" s="3" t="s">
        <v>119</v>
      </c>
      <c r="G37" t="s">
        <v>120</v>
      </c>
      <c r="H37" s="3" t="s">
        <v>254</v>
      </c>
      <c r="I37" s="4">
        <v>1.0</v>
      </c>
      <c r="J37" t="s">
        <v>272</v>
      </c>
      <c r="K37" t="s">
        <v>261</v>
      </c>
      <c r="L37" t="s">
        <v>316</v>
      </c>
    </row>
    <row r="38" spans="1:36">
      <c r="A38" s="3">
        <v>37</v>
      </c>
      <c r="B38" t="s">
        <v>258</v>
      </c>
      <c r="C38" s="3" t="s">
        <v>345</v>
      </c>
      <c r="D38" s="21">
        <v>44807.0</v>
      </c>
      <c r="E38" t="s">
        <v>271</v>
      </c>
      <c r="F38" s="3" t="s">
        <v>64</v>
      </c>
      <c r="G38" t="s">
        <v>65</v>
      </c>
      <c r="H38" s="3" t="s">
        <v>254</v>
      </c>
      <c r="I38" s="4">
        <v>17.0</v>
      </c>
      <c r="J38" t="s">
        <v>346</v>
      </c>
      <c r="K38" t="s">
        <v>261</v>
      </c>
      <c r="L38" t="s">
        <v>347</v>
      </c>
    </row>
    <row r="39" spans="1:36">
      <c r="A39" s="3">
        <v>38</v>
      </c>
      <c r="B39" t="s">
        <v>251</v>
      </c>
      <c r="C39" s="3" t="s">
        <v>348</v>
      </c>
      <c r="D39" s="21">
        <v>44723.0</v>
      </c>
      <c r="E39" t="s">
        <v>349</v>
      </c>
      <c r="F39" s="3" t="s">
        <v>165</v>
      </c>
      <c r="G39" t="s">
        <v>166</v>
      </c>
      <c r="H39" s="3" t="s">
        <v>254</v>
      </c>
      <c r="I39" s="4">
        <v>1.0</v>
      </c>
      <c r="J39" t="s">
        <v>346</v>
      </c>
      <c r="K39" t="s">
        <v>350</v>
      </c>
      <c r="L39" t="s">
        <v>351</v>
      </c>
    </row>
    <row r="40" spans="1:36">
      <c r="A40" s="3">
        <v>39</v>
      </c>
      <c r="B40" t="s">
        <v>258</v>
      </c>
      <c r="C40" s="3" t="s">
        <v>352</v>
      </c>
      <c r="D40" s="21">
        <v>44628.0</v>
      </c>
      <c r="E40" t="s">
        <v>353</v>
      </c>
      <c r="F40" s="3" t="s">
        <v>125</v>
      </c>
      <c r="G40" t="s">
        <v>126</v>
      </c>
      <c r="H40" s="3" t="s">
        <v>254</v>
      </c>
      <c r="I40" s="4">
        <v>1.0</v>
      </c>
      <c r="J40" t="s">
        <v>272</v>
      </c>
      <c r="K40" t="s">
        <v>354</v>
      </c>
      <c r="L40" t="s">
        <v>355</v>
      </c>
    </row>
    <row r="41" spans="1:36">
      <c r="A41" s="3">
        <v>40</v>
      </c>
      <c r="B41" t="s">
        <v>258</v>
      </c>
      <c r="C41" s="3" t="s">
        <v>356</v>
      </c>
      <c r="D41" s="21">
        <v>45176.0</v>
      </c>
      <c r="E41" t="s">
        <v>357</v>
      </c>
      <c r="F41" s="3" t="s">
        <v>81</v>
      </c>
      <c r="G41" t="s">
        <v>82</v>
      </c>
      <c r="H41" s="3" t="s">
        <v>254</v>
      </c>
      <c r="I41" s="4">
        <v>4.0</v>
      </c>
      <c r="J41" t="s">
        <v>272</v>
      </c>
      <c r="K41" t="s">
        <v>256</v>
      </c>
      <c r="L41" t="s">
        <v>358</v>
      </c>
    </row>
    <row r="42" spans="1:36">
      <c r="A42" s="3">
        <v>41</v>
      </c>
      <c r="B42" t="s">
        <v>258</v>
      </c>
      <c r="C42" s="3" t="s">
        <v>359</v>
      </c>
      <c r="D42" s="21">
        <v>44923.0</v>
      </c>
      <c r="E42" t="s">
        <v>360</v>
      </c>
      <c r="F42" s="3" t="s">
        <v>115</v>
      </c>
      <c r="G42" t="s">
        <v>116</v>
      </c>
      <c r="H42" s="3" t="s">
        <v>254</v>
      </c>
      <c r="I42" s="4">
        <v>1.0</v>
      </c>
      <c r="J42" t="s">
        <v>361</v>
      </c>
      <c r="K42" t="s">
        <v>261</v>
      </c>
      <c r="L42" t="s">
        <v>362</v>
      </c>
    </row>
    <row r="43" spans="1:36">
      <c r="A43" s="3">
        <v>42</v>
      </c>
      <c r="B43" t="s">
        <v>280</v>
      </c>
      <c r="C43" s="3" t="s">
        <v>363</v>
      </c>
      <c r="D43" s="21">
        <v>44844.0</v>
      </c>
      <c r="E43" t="s">
        <v>282</v>
      </c>
      <c r="F43" s="3" t="s">
        <v>79</v>
      </c>
      <c r="G43" t="s">
        <v>80</v>
      </c>
      <c r="H43" s="3" t="s">
        <v>254</v>
      </c>
      <c r="I43" s="4">
        <v>1.0</v>
      </c>
      <c r="J43" t="s">
        <v>272</v>
      </c>
      <c r="K43" t="s">
        <v>256</v>
      </c>
      <c r="L43" t="s">
        <v>283</v>
      </c>
    </row>
    <row r="44" spans="1:36">
      <c r="A44" s="3">
        <v>43</v>
      </c>
      <c r="B44" t="s">
        <v>258</v>
      </c>
      <c r="C44" s="3" t="s">
        <v>364</v>
      </c>
      <c r="D44" s="21">
        <v>44866.0</v>
      </c>
      <c r="E44" t="s">
        <v>365</v>
      </c>
      <c r="F44" s="3" t="s">
        <v>79</v>
      </c>
      <c r="G44" t="s">
        <v>80</v>
      </c>
      <c r="H44" s="3" t="s">
        <v>254</v>
      </c>
      <c r="I44" s="4">
        <v>1.0</v>
      </c>
      <c r="J44" t="s">
        <v>272</v>
      </c>
      <c r="K44" t="s">
        <v>256</v>
      </c>
      <c r="L44" t="s">
        <v>366</v>
      </c>
    </row>
    <row r="45" spans="1:36">
      <c r="A45" s="3">
        <v>44</v>
      </c>
      <c r="B45" t="s">
        <v>280</v>
      </c>
      <c r="C45" s="3" t="s">
        <v>367</v>
      </c>
      <c r="D45" s="21">
        <v>44888.0</v>
      </c>
      <c r="E45" t="s">
        <v>285</v>
      </c>
      <c r="F45" s="3" t="s">
        <v>79</v>
      </c>
      <c r="G45" t="s">
        <v>80</v>
      </c>
      <c r="H45" s="3" t="s">
        <v>254</v>
      </c>
      <c r="I45" s="4">
        <v>1.0</v>
      </c>
      <c r="J45" t="s">
        <v>272</v>
      </c>
      <c r="K45" t="s">
        <v>256</v>
      </c>
      <c r="L45" t="s">
        <v>358</v>
      </c>
    </row>
    <row r="46" spans="1:36">
      <c r="A46" s="3">
        <v>45</v>
      </c>
      <c r="B46" t="s">
        <v>280</v>
      </c>
      <c r="C46" s="3" t="s">
        <v>368</v>
      </c>
      <c r="D46" s="21">
        <v>45287.0</v>
      </c>
      <c r="E46" t="s">
        <v>285</v>
      </c>
      <c r="F46" s="3" t="s">
        <v>79</v>
      </c>
      <c r="G46" t="s">
        <v>80</v>
      </c>
      <c r="H46" s="3" t="s">
        <v>254</v>
      </c>
      <c r="I46" s="4">
        <v>1.0</v>
      </c>
      <c r="J46" t="s">
        <v>272</v>
      </c>
      <c r="K46" t="s">
        <v>256</v>
      </c>
      <c r="L46" t="s">
        <v>369</v>
      </c>
    </row>
    <row r="47" spans="1:36">
      <c r="A47" s="3">
        <v>46</v>
      </c>
      <c r="B47" t="s">
        <v>280</v>
      </c>
      <c r="C47" s="3" t="s">
        <v>370</v>
      </c>
      <c r="D47" s="21">
        <v>44602.0</v>
      </c>
      <c r="E47" t="s">
        <v>285</v>
      </c>
      <c r="F47" s="3" t="s">
        <v>233</v>
      </c>
      <c r="G47" t="s">
        <v>234</v>
      </c>
      <c r="H47" s="3" t="s">
        <v>254</v>
      </c>
      <c r="I47" s="4">
        <v>1.0</v>
      </c>
      <c r="J47" t="s">
        <v>272</v>
      </c>
      <c r="K47" t="s">
        <v>256</v>
      </c>
      <c r="L47" t="s">
        <v>371</v>
      </c>
    </row>
    <row r="48" spans="1:36">
      <c r="A48" s="3">
        <v>47</v>
      </c>
      <c r="B48" t="s">
        <v>280</v>
      </c>
      <c r="C48" s="3" t="s">
        <v>372</v>
      </c>
      <c r="D48" s="21">
        <v>44617.0</v>
      </c>
      <c r="E48" t="s">
        <v>285</v>
      </c>
      <c r="F48" s="3" t="s">
        <v>233</v>
      </c>
      <c r="G48" t="s">
        <v>234</v>
      </c>
      <c r="H48" s="3" t="s">
        <v>254</v>
      </c>
      <c r="I48" s="4">
        <v>1.0</v>
      </c>
      <c r="J48" t="s">
        <v>272</v>
      </c>
      <c r="K48" t="s">
        <v>261</v>
      </c>
      <c r="L48" t="s">
        <v>373</v>
      </c>
    </row>
    <row r="49" spans="1:36">
      <c r="A49" s="3">
        <v>48</v>
      </c>
      <c r="B49" t="s">
        <v>280</v>
      </c>
      <c r="C49" s="3" t="s">
        <v>374</v>
      </c>
      <c r="D49" s="21">
        <v>44670.0</v>
      </c>
      <c r="E49" t="s">
        <v>285</v>
      </c>
      <c r="F49" s="3" t="s">
        <v>233</v>
      </c>
      <c r="G49" t="s">
        <v>234</v>
      </c>
      <c r="H49" s="3" t="s">
        <v>254</v>
      </c>
      <c r="I49" s="4">
        <v>1.0</v>
      </c>
      <c r="J49" t="s">
        <v>272</v>
      </c>
      <c r="K49" t="s">
        <v>256</v>
      </c>
      <c r="L49" t="s">
        <v>375</v>
      </c>
    </row>
    <row r="50" spans="1:36">
      <c r="A50" s="3">
        <v>49</v>
      </c>
      <c r="B50" t="s">
        <v>258</v>
      </c>
      <c r="C50" s="3" t="s">
        <v>376</v>
      </c>
      <c r="D50" s="21">
        <v>44659.0</v>
      </c>
      <c r="E50" t="s">
        <v>360</v>
      </c>
      <c r="F50" s="3" t="s">
        <v>93</v>
      </c>
      <c r="G50" t="s">
        <v>94</v>
      </c>
      <c r="H50" s="3" t="s">
        <v>254</v>
      </c>
      <c r="I50" s="4">
        <v>1.0</v>
      </c>
      <c r="J50" t="s">
        <v>377</v>
      </c>
      <c r="K50" t="s">
        <v>261</v>
      </c>
      <c r="L50" t="s">
        <v>378</v>
      </c>
    </row>
    <row r="51" spans="1:36">
      <c r="A51" s="3">
        <v>50</v>
      </c>
      <c r="B51" t="s">
        <v>267</v>
      </c>
      <c r="C51" s="3" t="s">
        <v>379</v>
      </c>
      <c r="D51" s="21">
        <v>44865.0</v>
      </c>
      <c r="E51" t="s">
        <v>380</v>
      </c>
      <c r="F51" s="3" t="s">
        <v>93</v>
      </c>
      <c r="G51" t="s">
        <v>94</v>
      </c>
      <c r="H51" s="3" t="s">
        <v>254</v>
      </c>
      <c r="I51" s="4">
        <v>1.0</v>
      </c>
      <c r="J51" t="s">
        <v>377</v>
      </c>
      <c r="K51" t="s">
        <v>256</v>
      </c>
      <c r="L51" t="s">
        <v>266</v>
      </c>
    </row>
    <row r="52" spans="1:36">
      <c r="A52" s="3">
        <v>51</v>
      </c>
      <c r="B52" t="s">
        <v>258</v>
      </c>
      <c r="C52" s="3" t="s">
        <v>381</v>
      </c>
      <c r="D52" s="21">
        <v>44887.0</v>
      </c>
      <c r="E52" t="s">
        <v>360</v>
      </c>
      <c r="F52" s="3" t="s">
        <v>93</v>
      </c>
      <c r="G52" t="s">
        <v>94</v>
      </c>
      <c r="H52" s="3" t="s">
        <v>254</v>
      </c>
      <c r="I52" s="4">
        <v>2.0</v>
      </c>
      <c r="J52" t="s">
        <v>377</v>
      </c>
      <c r="K52" t="s">
        <v>261</v>
      </c>
      <c r="L52" t="s">
        <v>382</v>
      </c>
    </row>
    <row r="53" spans="1:36">
      <c r="A53" s="3">
        <v>52</v>
      </c>
      <c r="B53" t="s">
        <v>258</v>
      </c>
      <c r="C53" s="3" t="s">
        <v>383</v>
      </c>
      <c r="D53" s="21">
        <v>44568.0</v>
      </c>
      <c r="E53" t="s">
        <v>312</v>
      </c>
      <c r="F53" s="3" t="s">
        <v>69</v>
      </c>
      <c r="G53" t="s">
        <v>70</v>
      </c>
      <c r="H53" s="3" t="s">
        <v>254</v>
      </c>
      <c r="I53" s="4">
        <v>1.0</v>
      </c>
      <c r="J53" t="s">
        <v>377</v>
      </c>
      <c r="K53" t="s">
        <v>256</v>
      </c>
      <c r="L53" t="s">
        <v>384</v>
      </c>
    </row>
    <row r="54" spans="1:36">
      <c r="A54" s="3">
        <v>53</v>
      </c>
      <c r="B54" t="s">
        <v>258</v>
      </c>
      <c r="C54" s="3" t="s">
        <v>385</v>
      </c>
      <c r="D54" s="21">
        <v>44611.0</v>
      </c>
      <c r="E54" t="s">
        <v>386</v>
      </c>
      <c r="F54" s="3" t="s">
        <v>69</v>
      </c>
      <c r="G54" t="s">
        <v>70</v>
      </c>
      <c r="H54" s="3" t="s">
        <v>254</v>
      </c>
      <c r="I54" s="4">
        <v>1.0</v>
      </c>
      <c r="J54" t="s">
        <v>377</v>
      </c>
      <c r="K54" t="s">
        <v>261</v>
      </c>
      <c r="L54" t="s">
        <v>387</v>
      </c>
    </row>
    <row r="55" spans="1:36">
      <c r="A55" s="3">
        <v>54</v>
      </c>
      <c r="B55" t="s">
        <v>258</v>
      </c>
      <c r="C55" s="3" t="s">
        <v>376</v>
      </c>
      <c r="D55" s="21">
        <v>44659.0</v>
      </c>
      <c r="E55" t="s">
        <v>360</v>
      </c>
      <c r="F55" s="3" t="s">
        <v>69</v>
      </c>
      <c r="G55" t="s">
        <v>70</v>
      </c>
      <c r="H55" s="3" t="s">
        <v>254</v>
      </c>
      <c r="I55" s="4">
        <v>1.0</v>
      </c>
      <c r="J55" t="s">
        <v>377</v>
      </c>
      <c r="K55" t="s">
        <v>261</v>
      </c>
      <c r="L55" t="s">
        <v>378</v>
      </c>
    </row>
    <row r="56" spans="1:36">
      <c r="A56" s="3">
        <v>55</v>
      </c>
      <c r="B56" t="s">
        <v>258</v>
      </c>
      <c r="C56" s="3" t="s">
        <v>388</v>
      </c>
      <c r="D56" s="21">
        <v>44692.0</v>
      </c>
      <c r="E56" t="s">
        <v>338</v>
      </c>
      <c r="F56" s="3" t="s">
        <v>69</v>
      </c>
      <c r="G56" t="s">
        <v>70</v>
      </c>
      <c r="H56" s="3" t="s">
        <v>254</v>
      </c>
      <c r="I56" s="4">
        <v>1.0</v>
      </c>
      <c r="J56" t="s">
        <v>377</v>
      </c>
      <c r="K56" t="s">
        <v>261</v>
      </c>
      <c r="L56" t="s">
        <v>389</v>
      </c>
    </row>
    <row r="57" spans="1:36">
      <c r="A57" s="3">
        <v>56</v>
      </c>
      <c r="B57" t="s">
        <v>280</v>
      </c>
      <c r="C57" s="3" t="s">
        <v>390</v>
      </c>
      <c r="D57" s="21">
        <v>44810.0</v>
      </c>
      <c r="E57" t="s">
        <v>391</v>
      </c>
      <c r="F57" s="3" t="s">
        <v>69</v>
      </c>
      <c r="G57" t="s">
        <v>70</v>
      </c>
      <c r="H57" s="3" t="s">
        <v>254</v>
      </c>
      <c r="I57" s="4">
        <v>2.0</v>
      </c>
      <c r="J57" t="s">
        <v>377</v>
      </c>
      <c r="K57" t="s">
        <v>256</v>
      </c>
      <c r="L57" t="s">
        <v>266</v>
      </c>
    </row>
    <row r="58" spans="1:36">
      <c r="A58" s="3">
        <v>57</v>
      </c>
      <c r="B58" t="s">
        <v>258</v>
      </c>
      <c r="C58" s="3" t="s">
        <v>364</v>
      </c>
      <c r="D58" s="21">
        <v>44866.0</v>
      </c>
      <c r="E58" t="s">
        <v>365</v>
      </c>
      <c r="F58" s="3" t="s">
        <v>69</v>
      </c>
      <c r="G58" t="s">
        <v>70</v>
      </c>
      <c r="H58" s="3" t="s">
        <v>254</v>
      </c>
      <c r="I58" s="4">
        <v>1.0</v>
      </c>
      <c r="J58" t="s">
        <v>377</v>
      </c>
      <c r="K58" t="s">
        <v>256</v>
      </c>
      <c r="L58" t="s">
        <v>392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2023-12-29T09:16:35+07:00</dcterms:created>
  <dcterms:modified xsi:type="dcterms:W3CDTF">2023-12-29T09:16:35+07:00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