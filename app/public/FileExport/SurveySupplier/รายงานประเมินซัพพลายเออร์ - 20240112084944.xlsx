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<sst xmlns="http://schemas.openxmlformats.org/spreadsheetml/2006/main" uniqueCount="95">
  <si>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ลำดับ</t>
  </si>
  <si>
    <t>รหัสสินค้า</t>
  </si>
  <si>
    <t>ชื่อสินค้า</t>
  </si>
  <si>
    <t>สถานะ</t>
  </si>
  <si>
    <t>ยอดซื้อ 2022</t>
  </si>
  <si>
    <t>จำนวน
(หน่วย)</t>
  </si>
  <si>
    <t>มูลค่า
(THB)</t>
  </si>
  <si>
    <t>ยอดซื้อ 2023</t>
  </si>
  <si>
    <t>ยอดซื้อจริง 2024</t>
  </si>
  <si>
    <t>ประมาณการสั่งซื้อ 2024</t>
  </si>
  <si>
    <t>Growth
(%)</t>
  </si>
  <si>
    <t>ยอดขาย 2023</t>
  </si>
  <si>
    <t>รวมทั้งหมด
(หน่วย)</t>
  </si>
  <si>
    <t>เฉลี่ยต่อเดือน
(หน่วย)</t>
  </si>
  <si>
    <t>ยอดขาย 2024</t>
  </si>
  <si>
    <t>สินค้าคงคลัง 12/01/2024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</si>
  <si>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</si>
  <si>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</si>
  <si>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</si>
  <si>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</si>
  <si>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2023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</si>
  <si>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</si>
  <si>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</si>
  <si>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</si>
  <si>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</si>
  <si>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</si>
  <si>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</si>
  <si>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</si>
  <si>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</si>
  <si>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</si>
  <si>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</si>
  <si>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</si>
  <si>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</si>
  <si>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</si>
  <si>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รอเคลมซัพฯ
(หน่วย)</t>
  </si>
  <si>
    <t>มูลค่ารอเคลมซัพฯ
(THB)</t>
  </si>
  <si>
    <t>วิเคราะห์การขาย 2024</t>
  </si>
  <si>
    <t>ข้อมูลการเคลมสินค้า 2024</t>
  </si>
  <si>
    <t>ยอดขาย 2024
(หน่วย)</t>
  </si>
  <si>
    <t>คืนเพื่อเคลมซัพฯ
2024 (หน่วย)</t>
  </si>
  <si>
    <t>เคลมซัพฯ แล้ว
2024 (หน่วย)</t>
  </si>
  <si>
    <t>มูลค่าการเคลม
2024 (THB)</t>
  </si>
  <si>
    <t>% การเคลม
2024</t>
  </si>
  <si>
    <t>36-114-142</t>
  </si>
  <si>
    <t>ใบเลื่อย FREUD 10"x120T (ตัดอลูมิเนียม) LU5E0400</t>
  </si>
  <si>
    <t>M</t>
  </si>
  <si>
    <t>36-114-150</t>
  </si>
  <si>
    <t>ใบเลื่อย FREUD 12"x120T(ตัดอลูมิเนียม)LU5E0600</t>
  </si>
  <si>
    <t>36-114-140</t>
  </si>
  <si>
    <t>ใบเลื่อย FREUD 10"x100T(ตัดอลูมิเนียม) LU5E0300</t>
  </si>
  <si>
    <t>36-114-114</t>
  </si>
  <si>
    <t>ใบเลื่อย FREUD 10"x48T (ตัดไม้) LA20M003</t>
  </si>
  <si>
    <t>36-114-197</t>
  </si>
  <si>
    <t>ใบเลื่อย FREUD 10"x60T(ตัดไม้) FR26W001T</t>
  </si>
  <si>
    <t>36-114-104</t>
  </si>
  <si>
    <t>ใบเลื่อย FREUD 7"x40T (ตัดไม้) LP33MCR3</t>
  </si>
  <si>
    <t>36-114-115</t>
  </si>
  <si>
    <t>ใบเลื่อย FREUD 10"x60T(ตัดไม้)LG2B0700</t>
  </si>
  <si>
    <t>36-114-196</t>
  </si>
  <si>
    <t>ใบเลื่อย FREUD 9"x60T(ตัดไม้) LA30M001</t>
  </si>
  <si>
    <t>36-114-103</t>
  </si>
  <si>
    <t>ใบเลื่อย FREUD 7"x30T (ตัดไม้) LP32MCR3</t>
  </si>
  <si>
    <t>36-114-107</t>
  </si>
  <si>
    <t>ใบเลื่อย FREUD 8"x40T (ตัดไม้) LP35MDR3</t>
  </si>
  <si>
    <t>36-114-128</t>
  </si>
  <si>
    <t>ใบเลื่อย FREUD 12"x80T (ตัดไม้) LA40M001</t>
  </si>
  <si>
    <t>D</t>
  </si>
  <si>
    <t>36-114-199</t>
  </si>
  <si>
    <t>ใบเลื่อย FREUD 12"x96T (wood) LU3D 0600</t>
  </si>
  <si>
    <t>36-114-198</t>
  </si>
  <si>
    <t>ใบเลื่อย FREUD 12"x96T (wood) FR29W006MC</t>
  </si>
  <si>
    <t>36-114-009</t>
  </si>
  <si>
    <t>ใบเลื่อย FREUD 4"x20T (อเนกประสงค์) LCL5M33043</t>
  </si>
  <si>
    <t>DEAD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</si>
  <si>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</si>
  <si>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</si>
  <si>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</si>
  <si>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</si>
  <si>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</si>
  <si>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</si>
  <si>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</si>
  <si>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</si>
  <si>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</si>
  <si>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</si>
  <si>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ฝ่ายขายร้านค้า ตจว.</t>
  </si>
  <si>
    <t>PE-66081007</t>
  </si>
  <si>
    <t>C-10629 - บุญคู่บ้าน</t>
  </si>
  <si>
    <t>WP5</t>
  </si>
  <si>
    <t>ใบ</t>
  </si>
  <si>
    <t>ชำรุดจากโรงงาน</t>
  </si>
  <si>
    <t>ฟันหัก</t>
  </si>
  <si>
    <t>ฝ่ายขายหน้าร้าน</t>
  </si>
  <si>
    <t>PE-66101001</t>
  </si>
  <si>
    <t>C-11964 - ราชบุรี กิมเซ่งฮวด</t>
  </si>
  <si>
    <t>ฟันหัก  ลูกค้าใช้งานตัดอลูมมิเนียมธรรมดา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</si>
</sst>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17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17" sqref="AW17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500.0</v>
      </c>
      <c r="F3" s="5">
        <v>658210.26</v>
      </c>
      <c r="G3" s="4">
        <v>500.0</v>
      </c>
      <c r="H3" s="5">
        <v>677770.0</v>
      </c>
      <c r="I3" s="6">
        <v>0</v>
      </c>
      <c r="J3" s="6">
        <v>0</v>
      </c>
      <c r="K3" s="4">
        <v>706.36363</v>
      </c>
      <c r="L3" s="5">
        <v>957504.15501</v>
      </c>
      <c r="M3" s="7">
        <v>0.29214928577226</v>
      </c>
      <c r="N3" s="4">
        <v>566.0</v>
      </c>
      <c r="O3" s="4">
        <v>50.454545</v>
      </c>
      <c r="P3" s="4">
        <v>24.0</v>
      </c>
      <c r="Q3" s="6">
        <v>0</v>
      </c>
      <c r="R3" s="4">
        <v>192.0</v>
      </c>
      <c r="S3" s="5">
        <v>260263.68</v>
      </c>
      <c r="T3" s="4">
        <v>95.666666</v>
      </c>
      <c r="U3" s="8">
        <v>2.0069686551008</v>
      </c>
      <c r="V3" s="5">
        <v>754778.484</v>
      </c>
      <c r="W3" s="5">
        <v>1333.5308904594</v>
      </c>
      <c r="X3" s="5">
        <v>1182879.898</v>
      </c>
      <c r="Y3" s="5">
        <v>2089.8938127208</v>
      </c>
      <c r="Z3" s="5">
        <v>428101.414</v>
      </c>
      <c r="AA3" s="5">
        <v>756.36292226148</v>
      </c>
      <c r="AB3" s="9">
        <v>0.36191452295692</v>
      </c>
      <c r="AC3" s="4">
        <v>566.0</v>
      </c>
      <c r="AD3" s="4">
        <v>2.0</v>
      </c>
      <c r="AE3" s="6">
        <v>0</v>
      </c>
      <c r="AF3" s="6">
        <v>0</v>
      </c>
      <c r="AG3" s="3">
        <v>0</v>
      </c>
      <c r="AH3" s="4">
        <v>1.0</v>
      </c>
      <c r="AI3" s="5">
        <v>1355.54</v>
      </c>
      <c r="AJ3" s="5">
        <v>32532.96</v>
      </c>
      <c r="AK3" s="5">
        <v>1355.54</v>
      </c>
      <c r="AL3" s="5">
        <v>49912.155</v>
      </c>
      <c r="AM3" s="5">
        <v>2079.673125</v>
      </c>
      <c r="AN3" s="5">
        <v>17379.195</v>
      </c>
      <c r="AO3" s="5">
        <v>724.133125</v>
      </c>
      <c r="AP3" s="9">
        <v>0.34819564492858</v>
      </c>
      <c r="AQ3" s="4">
        <v>24.0</v>
      </c>
      <c r="AR3" s="6">
        <v>0</v>
      </c>
      <c r="AS3" s="6">
        <v>0</v>
      </c>
      <c r="AT3" s="6">
        <v>0</v>
      </c>
      <c r="AU3" s="3">
        <v>0</v>
      </c>
      <c r="AV3" s="4">
        <v>1.0</v>
      </c>
      <c r="AW3" s="5">
        <v>1355.54</v>
      </c>
    </row>
    <row r="4" spans="1:49">
      <c r="A4" s="3">
        <v>2</v>
      </c>
      <c r="B4" s="3" t="s">
        <v>46</v>
      </c>
      <c r="C4" t="s">
        <v>47</v>
      </c>
      <c r="D4" s="3" t="s">
        <v>45</v>
      </c>
      <c r="E4" s="4">
        <v>200.0</v>
      </c>
      <c r="F4" s="5">
        <v>326885.52</v>
      </c>
      <c r="G4" s="4">
        <v>400.0</v>
      </c>
      <c r="H4" s="5">
        <v>639680.0</v>
      </c>
      <c r="I4" s="6">
        <v>0</v>
      </c>
      <c r="J4" s="6">
        <v>0</v>
      </c>
      <c r="K4" s="4">
        <v>521.818178</v>
      </c>
      <c r="L4" s="5">
        <v>850245.321051</v>
      </c>
      <c r="M4" s="7">
        <v>0.23344947174301</v>
      </c>
      <c r="N4" s="4">
        <v>417.0</v>
      </c>
      <c r="O4" s="4">
        <v>37.272727</v>
      </c>
      <c r="P4" s="4">
        <v>9.0</v>
      </c>
      <c r="Q4" s="6">
        <v>0</v>
      </c>
      <c r="R4" s="4">
        <v>94.0</v>
      </c>
      <c r="S4" s="5">
        <v>153162.66</v>
      </c>
      <c r="T4" s="4">
        <v>69.0</v>
      </c>
      <c r="U4" s="8">
        <v>1.3623188405797</v>
      </c>
      <c r="V4" s="5">
        <v>661395.31</v>
      </c>
      <c r="W4" s="5">
        <v>1586.0798800959</v>
      </c>
      <c r="X4" s="5">
        <v>1003322.919</v>
      </c>
      <c r="Y4" s="5">
        <v>2406.0501654676</v>
      </c>
      <c r="Z4" s="5">
        <v>341927.609</v>
      </c>
      <c r="AA4" s="5">
        <v>819.9702853717</v>
      </c>
      <c r="AB4" s="9">
        <v>0.34079517424041</v>
      </c>
      <c r="AC4" s="4">
        <v>417.0</v>
      </c>
      <c r="AD4" s="6">
        <v>0</v>
      </c>
      <c r="AE4" s="6">
        <v>0</v>
      </c>
      <c r="AF4" s="6">
        <v>0</v>
      </c>
      <c r="AG4" s="3">
        <v>0</v>
      </c>
      <c r="AH4" s="6">
        <v>0</v>
      </c>
      <c r="AI4" s="6">
        <v>0</v>
      </c>
      <c r="AJ4" s="5">
        <v>14664.51</v>
      </c>
      <c r="AK4" s="5">
        <v>1629.39</v>
      </c>
      <c r="AL4" s="5">
        <v>19974.757</v>
      </c>
      <c r="AM4" s="5">
        <v>2219.4174444444</v>
      </c>
      <c r="AN4" s="5">
        <v>5310.247</v>
      </c>
      <c r="AO4" s="5">
        <v>590.02744444444</v>
      </c>
      <c r="AP4" s="9">
        <v>0.26584788991426</v>
      </c>
      <c r="AQ4" s="4">
        <v>9.0</v>
      </c>
      <c r="AR4" s="6">
        <v>0</v>
      </c>
      <c r="AS4" s="6">
        <v>0</v>
      </c>
      <c r="AT4" s="6">
        <v>0</v>
      </c>
      <c r="AU4" s="3">
        <v>0</v>
      </c>
      <c r="AV4" s="6">
        <v>0</v>
      </c>
      <c r="AW4" s="6">
        <v>0</v>
      </c>
    </row>
    <row r="5" spans="1:49">
      <c r="A5" s="3">
        <v>3</v>
      </c>
      <c r="B5" s="3" t="s">
        <v>48</v>
      </c>
      <c r="C5" t="s">
        <v>49</v>
      </c>
      <c r="D5" s="3" t="s">
        <v>45</v>
      </c>
      <c r="E5" s="4">
        <v>102.0</v>
      </c>
      <c r="F5" s="5">
        <v>140766.018</v>
      </c>
      <c r="G5" s="4">
        <v>380.0</v>
      </c>
      <c r="H5" s="5">
        <v>492846.6</v>
      </c>
      <c r="I5" s="6">
        <v>0</v>
      </c>
      <c r="J5" s="6">
        <v>0</v>
      </c>
      <c r="K5" s="4">
        <v>350.0</v>
      </c>
      <c r="L5" s="5">
        <v>455269.5</v>
      </c>
      <c r="M5" s="10">
        <v>-0.085714285714286</v>
      </c>
      <c r="N5" s="4">
        <v>276.0</v>
      </c>
      <c r="O5" s="4">
        <v>25.0</v>
      </c>
      <c r="P5" s="4">
        <v>13.0</v>
      </c>
      <c r="Q5" s="6">
        <v>0</v>
      </c>
      <c r="R5" s="4">
        <v>232.0</v>
      </c>
      <c r="S5" s="5">
        <v>301778.64</v>
      </c>
      <c r="T5" s="4">
        <v>47.166666</v>
      </c>
      <c r="U5" s="11">
        <v>4.918727984717</v>
      </c>
      <c r="V5" s="5">
        <v>363812.487</v>
      </c>
      <c r="W5" s="5">
        <v>1318.1611847826</v>
      </c>
      <c r="X5" s="5">
        <v>536157.846</v>
      </c>
      <c r="Y5" s="5">
        <v>1942.6008913043</v>
      </c>
      <c r="Z5" s="5">
        <v>172345.359</v>
      </c>
      <c r="AA5" s="5">
        <v>624.43970652174</v>
      </c>
      <c r="AB5" s="9">
        <v>0.32144518687133</v>
      </c>
      <c r="AC5" s="4">
        <v>276.0</v>
      </c>
      <c r="AD5" s="6">
        <v>0</v>
      </c>
      <c r="AE5" s="6">
        <v>0</v>
      </c>
      <c r="AF5" s="6">
        <v>0</v>
      </c>
      <c r="AG5" s="3">
        <v>0</v>
      </c>
      <c r="AH5" s="6">
        <v>0</v>
      </c>
      <c r="AI5" s="6">
        <v>0</v>
      </c>
      <c r="AJ5" s="5">
        <v>16910.01</v>
      </c>
      <c r="AK5" s="5">
        <v>1300.77</v>
      </c>
      <c r="AL5" s="5">
        <v>24924.116</v>
      </c>
      <c r="AM5" s="5">
        <v>1917.2396923077</v>
      </c>
      <c r="AN5" s="5">
        <v>8014.106</v>
      </c>
      <c r="AO5" s="5">
        <v>616.46969230769</v>
      </c>
      <c r="AP5" s="9">
        <v>0.32154023035361</v>
      </c>
      <c r="AQ5" s="4">
        <v>13.0</v>
      </c>
      <c r="AR5" s="6">
        <v>0</v>
      </c>
      <c r="AS5" s="6">
        <v>0</v>
      </c>
      <c r="AT5" s="6">
        <v>0</v>
      </c>
      <c r="AU5" s="3">
        <v>0</v>
      </c>
      <c r="AV5" s="6">
        <v>0</v>
      </c>
      <c r="AW5" s="6">
        <v>0</v>
      </c>
    </row>
    <row r="6" spans="1:49">
      <c r="A6" s="3">
        <v>4</v>
      </c>
      <c r="B6" s="3" t="s">
        <v>50</v>
      </c>
      <c r="C6" t="s">
        <v>51</v>
      </c>
      <c r="D6" s="3" t="s">
        <v>45</v>
      </c>
      <c r="E6" s="4">
        <v>99.0</v>
      </c>
      <c r="F6" s="5">
        <v>61276.71</v>
      </c>
      <c r="G6" s="4">
        <v>401.0</v>
      </c>
      <c r="H6" s="5">
        <v>246878.834</v>
      </c>
      <c r="I6" s="6">
        <v>0</v>
      </c>
      <c r="J6" s="6">
        <v>0</v>
      </c>
      <c r="K6" s="4">
        <v>450.545452</v>
      </c>
      <c r="L6" s="5">
        <v>281307.063865</v>
      </c>
      <c r="M6" s="7">
        <v>0.10996771087149</v>
      </c>
      <c r="N6" s="4">
        <v>365.0</v>
      </c>
      <c r="O6" s="4">
        <v>32.181818</v>
      </c>
      <c r="P6" s="4">
        <v>8.0</v>
      </c>
      <c r="Q6" s="6">
        <v>0</v>
      </c>
      <c r="R6" s="4">
        <v>40.0</v>
      </c>
      <c r="S6" s="5">
        <v>24974.8</v>
      </c>
      <c r="T6" s="4">
        <v>61.833333</v>
      </c>
      <c r="U6" s="8">
        <v>0.64690027302911</v>
      </c>
      <c r="V6" s="5">
        <v>224421.763</v>
      </c>
      <c r="W6" s="5">
        <v>614.85414520548</v>
      </c>
      <c r="X6" s="5">
        <v>366701.844</v>
      </c>
      <c r="Y6" s="5">
        <v>1004.6625863014</v>
      </c>
      <c r="Z6" s="5">
        <v>142280.081</v>
      </c>
      <c r="AA6" s="5">
        <v>389.80844109589</v>
      </c>
      <c r="AB6" s="9">
        <v>0.38799936059225</v>
      </c>
      <c r="AC6" s="4">
        <v>365.0</v>
      </c>
      <c r="AD6" s="6">
        <v>0</v>
      </c>
      <c r="AE6" s="6">
        <v>0</v>
      </c>
      <c r="AF6" s="6">
        <v>0</v>
      </c>
      <c r="AG6" s="3">
        <v>0</v>
      </c>
      <c r="AH6" s="6">
        <v>0</v>
      </c>
      <c r="AI6" s="6">
        <v>0</v>
      </c>
      <c r="AJ6" s="5">
        <v>4994.96</v>
      </c>
      <c r="AK6" s="5">
        <v>624.37</v>
      </c>
      <c r="AL6" s="5">
        <v>9427.195</v>
      </c>
      <c r="AM6" s="5">
        <v>1178.399375</v>
      </c>
      <c r="AN6" s="5">
        <v>4432.235</v>
      </c>
      <c r="AO6" s="5">
        <v>554.029375</v>
      </c>
      <c r="AP6" s="9">
        <v>0.47015416568767</v>
      </c>
      <c r="AQ6" s="4">
        <v>8.0</v>
      </c>
      <c r="AR6" s="6">
        <v>0</v>
      </c>
      <c r="AS6" s="6">
        <v>0</v>
      </c>
      <c r="AT6" s="6">
        <v>0</v>
      </c>
      <c r="AU6" s="3">
        <v>0</v>
      </c>
      <c r="AV6" s="6">
        <v>0</v>
      </c>
      <c r="AW6" s="6">
        <v>0</v>
      </c>
    </row>
    <row r="7" spans="1:49">
      <c r="A7" s="3">
        <v>5</v>
      </c>
      <c r="B7" s="3" t="s">
        <v>52</v>
      </c>
      <c r="C7" t="s">
        <v>53</v>
      </c>
      <c r="D7" s="3" t="s">
        <v>45</v>
      </c>
      <c r="E7" s="6">
        <v>0</v>
      </c>
      <c r="F7" s="6">
        <v>0</v>
      </c>
      <c r="G7" s="4">
        <v>200.0</v>
      </c>
      <c r="H7" s="5">
        <v>214462.0</v>
      </c>
      <c r="I7" s="6">
        <v>0</v>
      </c>
      <c r="J7" s="6">
        <v>0</v>
      </c>
      <c r="K7" s="4">
        <v>33.090904</v>
      </c>
      <c r="L7" s="5">
        <v>35483.707268</v>
      </c>
      <c r="M7" s="10">
        <v>-5.0439569737956</v>
      </c>
      <c r="N7" s="4">
        <v>26.0</v>
      </c>
      <c r="O7" s="4">
        <v>2.363636</v>
      </c>
      <c r="P7" s="6">
        <v>0</v>
      </c>
      <c r="Q7" s="6">
        <v>0</v>
      </c>
      <c r="R7" s="4">
        <v>171.0</v>
      </c>
      <c r="S7" s="5">
        <v>183365.01</v>
      </c>
      <c r="T7" s="4">
        <v>4.333333</v>
      </c>
      <c r="U7" s="12">
        <v>39.461541497042</v>
      </c>
      <c r="V7" s="5">
        <v>27880.06</v>
      </c>
      <c r="W7" s="5">
        <v>1072.31</v>
      </c>
      <c r="X7" s="5">
        <v>44359.802</v>
      </c>
      <c r="Y7" s="5">
        <v>1706.1462307692</v>
      </c>
      <c r="Z7" s="5">
        <v>16479.742</v>
      </c>
      <c r="AA7" s="5">
        <v>633.83623076923</v>
      </c>
      <c r="AB7" s="9">
        <v>0.37150170327631</v>
      </c>
      <c r="AC7" s="4">
        <v>26.0</v>
      </c>
      <c r="AD7" s="6">
        <v>0</v>
      </c>
      <c r="AE7" s="6">
        <v>0</v>
      </c>
      <c r="AF7" s="6">
        <v>0</v>
      </c>
      <c r="AG7" s="3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3">
        <v>0</v>
      </c>
      <c r="AQ7" s="6">
        <v>0</v>
      </c>
      <c r="AR7" s="6">
        <v>0</v>
      </c>
      <c r="AS7" s="6">
        <v>0</v>
      </c>
      <c r="AT7" s="6">
        <v>0</v>
      </c>
      <c r="AU7" s="3">
        <v>0</v>
      </c>
      <c r="AV7" s="6">
        <v>0</v>
      </c>
      <c r="AW7" s="6">
        <v>0</v>
      </c>
    </row>
    <row r="8" spans="1:49">
      <c r="A8" s="3">
        <v>6</v>
      </c>
      <c r="B8" s="3" t="s">
        <v>54</v>
      </c>
      <c r="C8" t="s">
        <v>55</v>
      </c>
      <c r="D8" s="3" t="s">
        <v>45</v>
      </c>
      <c r="E8" s="4">
        <v>300.0</v>
      </c>
      <c r="F8" s="5">
        <v>124642.0</v>
      </c>
      <c r="G8" s="4">
        <v>650.0</v>
      </c>
      <c r="H8" s="5">
        <v>214068.0</v>
      </c>
      <c r="I8" s="6">
        <v>0</v>
      </c>
      <c r="J8" s="6">
        <v>0</v>
      </c>
      <c r="K8" s="4">
        <v>791.636356</v>
      </c>
      <c r="L8" s="5">
        <v>267581.004692</v>
      </c>
      <c r="M8" s="7">
        <v>0.17891593144568</v>
      </c>
      <c r="N8" s="4">
        <v>631.0</v>
      </c>
      <c r="O8" s="4">
        <v>56.545454</v>
      </c>
      <c r="P8" s="6">
        <v>0</v>
      </c>
      <c r="Q8" s="6">
        <v>0</v>
      </c>
      <c r="R8" s="4">
        <v>16.0</v>
      </c>
      <c r="S8" s="5">
        <v>5408.16</v>
      </c>
      <c r="T8" s="4">
        <v>104.666666</v>
      </c>
      <c r="U8" s="8">
        <v>0.15286624301189</v>
      </c>
      <c r="V8" s="5">
        <v>206004.17</v>
      </c>
      <c r="W8" s="5">
        <v>326.47253565769</v>
      </c>
      <c r="X8" s="5">
        <v>440062.52</v>
      </c>
      <c r="Y8" s="5">
        <v>697.40494453249</v>
      </c>
      <c r="Z8" s="5">
        <v>234058.35</v>
      </c>
      <c r="AA8" s="5">
        <v>370.9324088748</v>
      </c>
      <c r="AB8" s="9">
        <v>0.5318752208209</v>
      </c>
      <c r="AC8" s="4">
        <v>631.0</v>
      </c>
      <c r="AD8" s="6">
        <v>0</v>
      </c>
      <c r="AE8" s="6">
        <v>0</v>
      </c>
      <c r="AF8" s="6">
        <v>0</v>
      </c>
      <c r="AG8" s="3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3">
        <v>0</v>
      </c>
      <c r="AQ8" s="6">
        <v>0</v>
      </c>
      <c r="AR8" s="6">
        <v>0</v>
      </c>
      <c r="AS8" s="6">
        <v>0</v>
      </c>
      <c r="AT8" s="6">
        <v>0</v>
      </c>
      <c r="AU8" s="3">
        <v>0</v>
      </c>
      <c r="AV8" s="6">
        <v>0</v>
      </c>
      <c r="AW8" s="6">
        <v>0</v>
      </c>
    </row>
    <row r="9" spans="1:49">
      <c r="A9" s="3">
        <v>7</v>
      </c>
      <c r="B9" s="3" t="s">
        <v>56</v>
      </c>
      <c r="C9" t="s">
        <v>57</v>
      </c>
      <c r="D9" s="3" t="s">
        <v>45</v>
      </c>
      <c r="E9" s="6">
        <v>0</v>
      </c>
      <c r="F9" s="6">
        <v>0</v>
      </c>
      <c r="G9" s="4">
        <v>129.0</v>
      </c>
      <c r="H9" s="5">
        <v>116659.32</v>
      </c>
      <c r="I9" s="6">
        <v>0</v>
      </c>
      <c r="J9" s="6">
        <v>0</v>
      </c>
      <c r="K9" s="4">
        <v>91.636356</v>
      </c>
      <c r="L9" s="5">
        <v>85320.778344</v>
      </c>
      <c r="M9" s="10">
        <v>-0.40773821254961</v>
      </c>
      <c r="N9" s="4">
        <v>72.0</v>
      </c>
      <c r="O9" s="4">
        <v>6.545454</v>
      </c>
      <c r="P9" s="6">
        <v>0</v>
      </c>
      <c r="Q9" s="6">
        <v>0</v>
      </c>
      <c r="R9" s="4">
        <v>57.0</v>
      </c>
      <c r="S9" s="5">
        <v>53071.56</v>
      </c>
      <c r="T9" s="4">
        <v>12.0</v>
      </c>
      <c r="U9" s="11">
        <v>4.75</v>
      </c>
      <c r="V9" s="5">
        <v>63596.6</v>
      </c>
      <c r="W9" s="5">
        <v>883.28611111111</v>
      </c>
      <c r="X9" s="5">
        <v>96754.93</v>
      </c>
      <c r="Y9" s="5">
        <v>1343.8184722222</v>
      </c>
      <c r="Z9" s="5">
        <v>33158.33</v>
      </c>
      <c r="AA9" s="5">
        <v>460.53236111111</v>
      </c>
      <c r="AB9" s="9">
        <v>0.34270429424113</v>
      </c>
      <c r="AC9" s="4">
        <v>72.0</v>
      </c>
      <c r="AD9" s="6">
        <v>0</v>
      </c>
      <c r="AE9" s="6">
        <v>0</v>
      </c>
      <c r="AF9" s="6">
        <v>0</v>
      </c>
      <c r="AG9" s="3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3">
        <v>0</v>
      </c>
      <c r="AQ9" s="6">
        <v>0</v>
      </c>
      <c r="AR9" s="6">
        <v>0</v>
      </c>
      <c r="AS9" s="6">
        <v>0</v>
      </c>
      <c r="AT9" s="6">
        <v>0</v>
      </c>
      <c r="AU9" s="3">
        <v>0</v>
      </c>
      <c r="AV9" s="6">
        <v>0</v>
      </c>
      <c r="AW9" s="6">
        <v>0</v>
      </c>
    </row>
    <row r="10" spans="1:49">
      <c r="A10" s="3">
        <v>8</v>
      </c>
      <c r="B10" s="3" t="s">
        <v>58</v>
      </c>
      <c r="C10" t="s">
        <v>59</v>
      </c>
      <c r="D10" s="3" t="s">
        <v>45</v>
      </c>
      <c r="E10" s="4">
        <v>30.0</v>
      </c>
      <c r="F10" s="5">
        <v>20076.06</v>
      </c>
      <c r="G10" s="4">
        <v>150.0</v>
      </c>
      <c r="H10" s="5">
        <v>101871.0</v>
      </c>
      <c r="I10" s="6">
        <v>0</v>
      </c>
      <c r="J10" s="6">
        <v>0</v>
      </c>
      <c r="K10" s="4">
        <v>192.181808</v>
      </c>
      <c r="L10" s="5">
        <v>130518.353085</v>
      </c>
      <c r="M10" s="7">
        <v>0.2194890787998</v>
      </c>
      <c r="N10" s="4">
        <v>151.0</v>
      </c>
      <c r="O10" s="4">
        <v>13.727272</v>
      </c>
      <c r="P10" s="4">
        <v>15.0</v>
      </c>
      <c r="Q10" s="6">
        <v>0</v>
      </c>
      <c r="R10" s="4">
        <v>20.0</v>
      </c>
      <c r="S10" s="5">
        <v>13582.8</v>
      </c>
      <c r="T10" s="4">
        <v>27.666666</v>
      </c>
      <c r="U10" s="8">
        <v>0.72289158368413</v>
      </c>
      <c r="V10" s="5">
        <v>102232.731</v>
      </c>
      <c r="W10" s="5">
        <v>677.03795364238</v>
      </c>
      <c r="X10" s="5">
        <v>157414.537</v>
      </c>
      <c r="Y10" s="5">
        <v>1042.4803774834</v>
      </c>
      <c r="Z10" s="5">
        <v>55181.806</v>
      </c>
      <c r="AA10" s="5">
        <v>365.44242384106</v>
      </c>
      <c r="AB10" s="9">
        <v>0.35055088971865</v>
      </c>
      <c r="AC10" s="4">
        <v>151.0</v>
      </c>
      <c r="AD10" s="6">
        <v>0</v>
      </c>
      <c r="AE10" s="6">
        <v>0</v>
      </c>
      <c r="AF10" s="6">
        <v>0</v>
      </c>
      <c r="AG10" s="3">
        <v>0</v>
      </c>
      <c r="AH10" s="6">
        <v>0</v>
      </c>
      <c r="AI10" s="6">
        <v>0</v>
      </c>
      <c r="AJ10" s="5">
        <v>10187.1</v>
      </c>
      <c r="AK10" s="5">
        <v>679.14</v>
      </c>
      <c r="AL10" s="5">
        <v>14789.715</v>
      </c>
      <c r="AM10" s="5">
        <v>985.981</v>
      </c>
      <c r="AN10" s="5">
        <v>4602.615</v>
      </c>
      <c r="AO10" s="5">
        <v>306.841</v>
      </c>
      <c r="AP10" s="9">
        <v>0.3112037655898</v>
      </c>
      <c r="AQ10" s="4">
        <v>15.0</v>
      </c>
      <c r="AR10" s="6">
        <v>0</v>
      </c>
      <c r="AS10" s="6">
        <v>0</v>
      </c>
      <c r="AT10" s="6">
        <v>0</v>
      </c>
      <c r="AU10" s="3">
        <v>0</v>
      </c>
      <c r="AV10" s="6">
        <v>0</v>
      </c>
      <c r="AW10" s="6">
        <v>0</v>
      </c>
    </row>
    <row r="11" spans="1:49">
      <c r="A11" s="3">
        <v>9</v>
      </c>
      <c r="B11" s="3" t="s">
        <v>60</v>
      </c>
      <c r="C11" t="s">
        <v>61</v>
      </c>
      <c r="D11" s="3" t="s">
        <v>45</v>
      </c>
      <c r="E11" s="4">
        <v>100.0</v>
      </c>
      <c r="F11" s="5">
        <v>36578.0</v>
      </c>
      <c r="G11" s="4">
        <v>300.0</v>
      </c>
      <c r="H11" s="5">
        <v>89969.0</v>
      </c>
      <c r="I11" s="6">
        <v>0</v>
      </c>
      <c r="J11" s="6">
        <v>0</v>
      </c>
      <c r="K11" s="4">
        <v>282.545452</v>
      </c>
      <c r="L11" s="5">
        <v>86879.901035</v>
      </c>
      <c r="M11" s="10">
        <v>-0.061776071341612</v>
      </c>
      <c r="N11" s="4">
        <v>199.0</v>
      </c>
      <c r="O11" s="4">
        <v>20.181818</v>
      </c>
      <c r="P11" s="4">
        <v>2.0</v>
      </c>
      <c r="Q11" s="6">
        <v>0</v>
      </c>
      <c r="R11" s="4">
        <v>145.0</v>
      </c>
      <c r="S11" s="5">
        <v>44586.05</v>
      </c>
      <c r="T11" s="4">
        <v>33.166666</v>
      </c>
      <c r="U11" s="11">
        <v>4.371859384359</v>
      </c>
      <c r="V11" s="5">
        <v>62679.89</v>
      </c>
      <c r="W11" s="5">
        <v>314.97432160804</v>
      </c>
      <c r="X11" s="5">
        <v>132973.397</v>
      </c>
      <c r="Y11" s="5">
        <v>668.20802512563</v>
      </c>
      <c r="Z11" s="5">
        <v>70293.507</v>
      </c>
      <c r="AA11" s="5">
        <v>353.23370351759</v>
      </c>
      <c r="AB11" s="9">
        <v>0.52862834661583</v>
      </c>
      <c r="AC11" s="4">
        <v>199.0</v>
      </c>
      <c r="AD11" s="6">
        <v>0</v>
      </c>
      <c r="AE11" s="6">
        <v>0</v>
      </c>
      <c r="AF11" s="6">
        <v>0</v>
      </c>
      <c r="AG11" s="3">
        <v>0</v>
      </c>
      <c r="AH11" s="6">
        <v>0</v>
      </c>
      <c r="AI11" s="6">
        <v>0</v>
      </c>
      <c r="AJ11" s="5">
        <v>592.2</v>
      </c>
      <c r="AK11" s="5">
        <v>296.1</v>
      </c>
      <c r="AL11" s="5">
        <v>1567.29</v>
      </c>
      <c r="AM11" s="5">
        <v>783.645</v>
      </c>
      <c r="AN11" s="5">
        <v>975.09</v>
      </c>
      <c r="AO11" s="5">
        <v>487.545</v>
      </c>
      <c r="AP11" s="9">
        <v>0.62215033593017</v>
      </c>
      <c r="AQ11" s="4">
        <v>2.0</v>
      </c>
      <c r="AR11" s="6">
        <v>0</v>
      </c>
      <c r="AS11" s="6">
        <v>0</v>
      </c>
      <c r="AT11" s="6">
        <v>0</v>
      </c>
      <c r="AU11" s="3">
        <v>0</v>
      </c>
      <c r="AV11" s="6">
        <v>0</v>
      </c>
      <c r="AW11" s="6">
        <v>0</v>
      </c>
    </row>
    <row r="12" spans="1:49">
      <c r="A12" s="3">
        <v>10</v>
      </c>
      <c r="B12" s="3" t="s">
        <v>62</v>
      </c>
      <c r="C12" t="s">
        <v>63</v>
      </c>
      <c r="D12" s="3" t="s">
        <v>45</v>
      </c>
      <c r="E12" s="4">
        <v>30.0</v>
      </c>
      <c r="F12" s="5">
        <v>13401.9</v>
      </c>
      <c r="G12" s="4">
        <v>150.0</v>
      </c>
      <c r="H12" s="5">
        <v>55638.0</v>
      </c>
      <c r="I12" s="6">
        <v>0</v>
      </c>
      <c r="J12" s="6">
        <v>0</v>
      </c>
      <c r="K12" s="4">
        <v>143.818178</v>
      </c>
      <c r="L12" s="5">
        <v>54012.35493</v>
      </c>
      <c r="M12" s="10">
        <v>-0.042983592797289</v>
      </c>
      <c r="N12" s="4">
        <v>113.0</v>
      </c>
      <c r="O12" s="4">
        <v>10.272727</v>
      </c>
      <c r="P12" s="4">
        <v>1.0</v>
      </c>
      <c r="Q12" s="6">
        <v>0</v>
      </c>
      <c r="R12" s="4">
        <v>40.0</v>
      </c>
      <c r="S12" s="5">
        <v>15022.4</v>
      </c>
      <c r="T12" s="4">
        <v>18.833333</v>
      </c>
      <c r="U12" s="8">
        <v>2.1238938429008</v>
      </c>
      <c r="V12" s="5">
        <v>42181.96</v>
      </c>
      <c r="W12" s="5">
        <v>373.29168141593</v>
      </c>
      <c r="X12" s="5">
        <v>84724.539</v>
      </c>
      <c r="Y12" s="5">
        <v>749.77468141593</v>
      </c>
      <c r="Z12" s="5">
        <v>42542.579</v>
      </c>
      <c r="AA12" s="5">
        <v>376.483</v>
      </c>
      <c r="AB12" s="9">
        <v>0.50212818508225</v>
      </c>
      <c r="AC12" s="4">
        <v>113.0</v>
      </c>
      <c r="AD12" s="6">
        <v>0</v>
      </c>
      <c r="AE12" s="6">
        <v>0</v>
      </c>
      <c r="AF12" s="6">
        <v>0</v>
      </c>
      <c r="AG12" s="3">
        <v>0</v>
      </c>
      <c r="AH12" s="6">
        <v>0</v>
      </c>
      <c r="AI12" s="6">
        <v>0</v>
      </c>
      <c r="AJ12" s="5">
        <v>375.56</v>
      </c>
      <c r="AK12" s="5">
        <v>375.56</v>
      </c>
      <c r="AL12" s="5">
        <v>875.701</v>
      </c>
      <c r="AM12" s="5">
        <v>875.701</v>
      </c>
      <c r="AN12" s="5">
        <v>500.141</v>
      </c>
      <c r="AO12" s="5">
        <v>500.141</v>
      </c>
      <c r="AP12" s="9">
        <v>0.57113215583858</v>
      </c>
      <c r="AQ12" s="4">
        <v>1.0</v>
      </c>
      <c r="AR12" s="6">
        <v>0</v>
      </c>
      <c r="AS12" s="6">
        <v>0</v>
      </c>
      <c r="AT12" s="6">
        <v>0</v>
      </c>
      <c r="AU12" s="3">
        <v>0</v>
      </c>
      <c r="AV12" s="6">
        <v>0</v>
      </c>
      <c r="AW12" s="6">
        <v>0</v>
      </c>
    </row>
    <row r="13" spans="1:49">
      <c r="A13" s="3">
        <v>11</v>
      </c>
      <c r="B13" s="3" t="s">
        <v>64</v>
      </c>
      <c r="C13" t="s">
        <v>65</v>
      </c>
      <c r="D13" s="3" t="s">
        <v>66</v>
      </c>
      <c r="E13" s="6">
        <v>0</v>
      </c>
      <c r="F13" s="6">
        <v>0</v>
      </c>
      <c r="G13" s="4">
        <v>50.0</v>
      </c>
      <c r="H13" s="5">
        <v>44852.0</v>
      </c>
      <c r="I13" s="6">
        <v>0</v>
      </c>
      <c r="J13" s="6">
        <v>0</v>
      </c>
      <c r="K13" s="4">
        <v>71.272726</v>
      </c>
      <c r="L13" s="5">
        <v>63934.486131</v>
      </c>
      <c r="M13" s="7">
        <v>0.29846937522777</v>
      </c>
      <c r="N13" s="4">
        <v>56.0</v>
      </c>
      <c r="O13" s="4">
        <v>5.090909</v>
      </c>
      <c r="P13" s="4">
        <v>2.0</v>
      </c>
      <c r="Q13" s="6">
        <v>0</v>
      </c>
      <c r="R13" s="4">
        <v>2.0</v>
      </c>
      <c r="S13" s="5">
        <v>1794.08</v>
      </c>
      <c r="T13" s="4">
        <v>8.833333</v>
      </c>
      <c r="U13" s="8">
        <v>0.22641510288359</v>
      </c>
      <c r="V13" s="5">
        <v>50366.499</v>
      </c>
      <c r="W13" s="5">
        <v>899.40176785714</v>
      </c>
      <c r="X13" s="5">
        <v>80794.179</v>
      </c>
      <c r="Y13" s="5">
        <v>1442.7531964286</v>
      </c>
      <c r="Z13" s="5">
        <v>30427.68</v>
      </c>
      <c r="AA13" s="5">
        <v>543.35142857143</v>
      </c>
      <c r="AB13" s="9">
        <v>0.37660732959487</v>
      </c>
      <c r="AC13" s="4">
        <v>56.0</v>
      </c>
      <c r="AD13" s="6">
        <v>0</v>
      </c>
      <c r="AE13" s="6">
        <v>0</v>
      </c>
      <c r="AF13" s="6">
        <v>0</v>
      </c>
      <c r="AG13" s="3">
        <v>0</v>
      </c>
      <c r="AH13" s="6">
        <v>0</v>
      </c>
      <c r="AI13" s="6">
        <v>0</v>
      </c>
      <c r="AJ13" s="5">
        <v>1794.08</v>
      </c>
      <c r="AK13" s="5">
        <v>897.04</v>
      </c>
      <c r="AL13" s="5">
        <v>3719.626</v>
      </c>
      <c r="AM13" s="5">
        <v>1859.813</v>
      </c>
      <c r="AN13" s="5">
        <v>1925.546</v>
      </c>
      <c r="AO13" s="5">
        <v>962.773</v>
      </c>
      <c r="AP13" s="9">
        <v>0.51767193798516</v>
      </c>
      <c r="AQ13" s="4">
        <v>2.0</v>
      </c>
      <c r="AR13" s="6">
        <v>0</v>
      </c>
      <c r="AS13" s="6">
        <v>0</v>
      </c>
      <c r="AT13" s="6">
        <v>0</v>
      </c>
      <c r="AU13" s="3">
        <v>0</v>
      </c>
      <c r="AV13" s="6">
        <v>0</v>
      </c>
      <c r="AW13" s="6">
        <v>0</v>
      </c>
    </row>
    <row r="14" spans="1:49">
      <c r="A14" s="3">
        <v>12</v>
      </c>
      <c r="B14" s="3" t="s">
        <v>67</v>
      </c>
      <c r="C14" t="s">
        <v>68</v>
      </c>
      <c r="D14" s="3" t="s">
        <v>45</v>
      </c>
      <c r="E14" s="6">
        <v>0</v>
      </c>
      <c r="F14" s="6">
        <v>0</v>
      </c>
      <c r="G14" s="4">
        <v>10.0</v>
      </c>
      <c r="H14" s="5">
        <v>17663.1</v>
      </c>
      <c r="I14" s="6">
        <v>0</v>
      </c>
      <c r="J14" s="6">
        <v>0</v>
      </c>
      <c r="K14" s="4">
        <v>3.818178</v>
      </c>
      <c r="L14" s="5">
        <v>6744.085983</v>
      </c>
      <c r="M14" s="10">
        <v>-1.6190502380979</v>
      </c>
      <c r="N14" s="4">
        <v>3.0</v>
      </c>
      <c r="O14" s="4">
        <v>0.272727</v>
      </c>
      <c r="P14" s="6">
        <v>0</v>
      </c>
      <c r="Q14" s="6">
        <v>0</v>
      </c>
      <c r="R14" s="4">
        <v>7.0</v>
      </c>
      <c r="S14" s="5">
        <v>12364.17</v>
      </c>
      <c r="T14" s="4">
        <v>0.5</v>
      </c>
      <c r="U14" s="12">
        <v>14.0</v>
      </c>
      <c r="V14" s="5">
        <v>5298.93</v>
      </c>
      <c r="W14" s="5">
        <v>1766.31</v>
      </c>
      <c r="X14" s="5">
        <v>7385.046</v>
      </c>
      <c r="Y14" s="5">
        <v>2461.682</v>
      </c>
      <c r="Z14" s="5">
        <v>2086.116</v>
      </c>
      <c r="AA14" s="5">
        <v>695.372</v>
      </c>
      <c r="AB14" s="9">
        <v>0.28247840297813</v>
      </c>
      <c r="AC14" s="4">
        <v>3.0</v>
      </c>
      <c r="AD14" s="6">
        <v>0</v>
      </c>
      <c r="AE14" s="6">
        <v>0</v>
      </c>
      <c r="AF14" s="6">
        <v>0</v>
      </c>
      <c r="AG14" s="3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3">
        <v>0</v>
      </c>
      <c r="AQ14" s="6">
        <v>0</v>
      </c>
      <c r="AR14" s="6">
        <v>0</v>
      </c>
      <c r="AS14" s="6">
        <v>0</v>
      </c>
      <c r="AT14" s="6">
        <v>0</v>
      </c>
      <c r="AU14" s="3">
        <v>0</v>
      </c>
      <c r="AV14" s="6">
        <v>0</v>
      </c>
      <c r="AW14" s="6">
        <v>0</v>
      </c>
    </row>
    <row r="15" spans="1:49">
      <c r="A15" s="3">
        <v>13</v>
      </c>
      <c r="B15" s="3" t="s">
        <v>69</v>
      </c>
      <c r="C15" t="s">
        <v>70</v>
      </c>
      <c r="D15" s="3" t="s">
        <v>45</v>
      </c>
      <c r="E15" s="6">
        <v>0</v>
      </c>
      <c r="F15" s="6">
        <v>0</v>
      </c>
      <c r="G15" s="4">
        <v>10.0</v>
      </c>
      <c r="H15" s="5">
        <v>12139.2</v>
      </c>
      <c r="I15" s="6">
        <v>0</v>
      </c>
      <c r="J15" s="6">
        <v>0</v>
      </c>
      <c r="K15" s="4">
        <v>3.818178</v>
      </c>
      <c r="L15" s="5">
        <v>4634.962638</v>
      </c>
      <c r="M15" s="10">
        <v>-1.6190502380979</v>
      </c>
      <c r="N15" s="4">
        <v>3.0</v>
      </c>
      <c r="O15" s="4">
        <v>0.272727</v>
      </c>
      <c r="P15" s="6">
        <v>0</v>
      </c>
      <c r="Q15" s="6">
        <v>0</v>
      </c>
      <c r="R15" s="4">
        <v>7.0</v>
      </c>
      <c r="S15" s="5">
        <v>8497.44</v>
      </c>
      <c r="T15" s="4">
        <v>0.5</v>
      </c>
      <c r="U15" s="12">
        <v>14.0</v>
      </c>
      <c r="V15" s="5">
        <v>3641.76</v>
      </c>
      <c r="W15" s="5">
        <v>1213.92</v>
      </c>
      <c r="X15" s="5">
        <v>6185.046</v>
      </c>
      <c r="Y15" s="5">
        <v>2061.682</v>
      </c>
      <c r="Z15" s="5">
        <v>2543.286</v>
      </c>
      <c r="AA15" s="5">
        <v>847.762</v>
      </c>
      <c r="AB15" s="9">
        <v>0.41119920530906</v>
      </c>
      <c r="AC15" s="4">
        <v>3.0</v>
      </c>
      <c r="AD15" s="6">
        <v>0</v>
      </c>
      <c r="AE15" s="6">
        <v>0</v>
      </c>
      <c r="AF15" s="6">
        <v>0</v>
      </c>
      <c r="AG15" s="3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3">
        <v>0</v>
      </c>
      <c r="AQ15" s="6">
        <v>0</v>
      </c>
      <c r="AR15" s="6">
        <v>0</v>
      </c>
      <c r="AS15" s="6">
        <v>0</v>
      </c>
      <c r="AT15" s="6">
        <v>0</v>
      </c>
      <c r="AU15" s="3">
        <v>0</v>
      </c>
      <c r="AV15" s="6">
        <v>0</v>
      </c>
      <c r="AW15" s="6">
        <v>0</v>
      </c>
    </row>
    <row r="16" spans="1:49">
      <c r="A16" s="3">
        <v>14</v>
      </c>
      <c r="B16" s="3" t="s">
        <v>71</v>
      </c>
      <c r="C16" t="s">
        <v>72</v>
      </c>
      <c r="D16" s="3" t="s">
        <v>45</v>
      </c>
      <c r="E16" s="4">
        <v>20.0</v>
      </c>
      <c r="F16" s="5">
        <v>5576.08</v>
      </c>
      <c r="G16" s="6">
        <v>0</v>
      </c>
      <c r="H16" s="6">
        <v>0</v>
      </c>
      <c r="I16" s="6">
        <v>0</v>
      </c>
      <c r="J16" s="6">
        <v>0</v>
      </c>
      <c r="K16" s="4">
        <v>21.636356</v>
      </c>
      <c r="L16" s="5">
        <v>6162.034189</v>
      </c>
      <c r="M16" s="7">
        <v>1.0</v>
      </c>
      <c r="N16" s="4">
        <v>17.0</v>
      </c>
      <c r="O16" s="4">
        <v>1.545454</v>
      </c>
      <c r="P16" s="6">
        <v>0</v>
      </c>
      <c r="Q16" s="6">
        <v>0</v>
      </c>
      <c r="R16" s="6">
        <v>0</v>
      </c>
      <c r="S16" s="6">
        <v>0</v>
      </c>
      <c r="T16" s="4">
        <v>2.666666</v>
      </c>
      <c r="U16" s="13" t="s">
        <v>73</v>
      </c>
      <c r="V16" s="5">
        <v>4904.67</v>
      </c>
      <c r="W16" s="5">
        <v>288.51</v>
      </c>
      <c r="X16" s="5">
        <v>9630.868</v>
      </c>
      <c r="Y16" s="5">
        <v>566.52164705882</v>
      </c>
      <c r="Z16" s="5">
        <v>4726.198</v>
      </c>
      <c r="AA16" s="5">
        <v>278.01164705882</v>
      </c>
      <c r="AB16" s="9">
        <v>0.49073437617461</v>
      </c>
      <c r="AC16" s="4">
        <v>17.0</v>
      </c>
      <c r="AD16" s="6">
        <v>0</v>
      </c>
      <c r="AE16" s="6">
        <v>0</v>
      </c>
      <c r="AF16" s="6">
        <v>0</v>
      </c>
      <c r="AG16" s="3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3">
        <v>0</v>
      </c>
      <c r="AQ16" s="6">
        <v>0</v>
      </c>
      <c r="AR16" s="6">
        <v>0</v>
      </c>
      <c r="AS16" s="6">
        <v>0</v>
      </c>
      <c r="AT16" s="6">
        <v>0</v>
      </c>
      <c r="AU16" s="3">
        <v>0</v>
      </c>
      <c r="AV16" s="6">
        <v>0</v>
      </c>
      <c r="AW16" s="6">
        <v>0</v>
      </c>
    </row>
    <row r="17" spans="1:49">
      <c r="A17" s="1" t="s">
        <v>74</v>
      </c>
      <c r="B17" s="1"/>
      <c r="C17" s="1"/>
      <c r="D17" s="1"/>
      <c r="E17" s="1"/>
      <c r="F17" s="14">
        <f>SUM(F3:F17)</f>
        <v>1387412.548</v>
      </c>
      <c r="G17" s="1"/>
      <c r="H17" s="14">
        <f>SUM(H3:H17)</f>
        <v>2924497.054</v>
      </c>
      <c r="I17" s="1"/>
      <c r="J17" s="14">
        <f>SUM(J3:J17)</f>
        <v>0</v>
      </c>
      <c r="K17" s="1"/>
      <c r="L17" s="14">
        <f>SUM(L3:L17)</f>
        <v>3285597.708221</v>
      </c>
      <c r="M17" s="1"/>
      <c r="N17" s="1"/>
      <c r="O17" s="1"/>
      <c r="P17" s="1"/>
      <c r="Q17" s="1"/>
      <c r="R17" s="1"/>
      <c r="S17" s="14">
        <f>SUM(S3:S17)</f>
        <v>1077871.45</v>
      </c>
      <c r="T17" s="1"/>
      <c r="U17" s="1"/>
      <c r="V17" s="14">
        <f>SUM(V3:V17)</f>
        <v>2573195.314</v>
      </c>
      <c r="W17" s="1"/>
      <c r="X17" s="14">
        <f>SUM(X3:X17)</f>
        <v>4149347.371</v>
      </c>
      <c r="Y17" s="1"/>
      <c r="Z17" s="14">
        <f>SUM(Z3:Z17)</f>
        <v>1576152.057</v>
      </c>
      <c r="AA17" s="1"/>
      <c r="AB17" s="1"/>
      <c r="AC17" s="1"/>
      <c r="AD17" s="1"/>
      <c r="AE17" s="1"/>
      <c r="AF17" s="14">
        <f>SUM(AF3:AF17)</f>
        <v>0</v>
      </c>
      <c r="AG17" s="1"/>
      <c r="AH17" s="1"/>
      <c r="AI17" s="14">
        <f>SUM(AI3:AI17)</f>
        <v>1355.54</v>
      </c>
      <c r="AJ17" s="14">
        <f>SUM(AJ3:V17)</f>
        <v>16725422.902624</v>
      </c>
      <c r="AK17" s="1"/>
      <c r="AL17" s="14">
        <f>SUM(AL3:AL17)</f>
        <v>125190.555</v>
      </c>
      <c r="AM17" s="1"/>
      <c r="AN17" s="14">
        <f>SUM(AN3:AN17)</f>
        <v>43139.175</v>
      </c>
      <c r="AO17" s="1"/>
      <c r="AP17" s="1"/>
      <c r="AQ17" s="1"/>
      <c r="AR17" s="1"/>
      <c r="AS17" s="1"/>
      <c r="AT17" s="14">
        <f>SUM(AT3:AT17)</f>
        <v>0</v>
      </c>
      <c r="AU17" s="1"/>
      <c r="AV17" s="1"/>
      <c r="AW17" s="14">
        <f>SUM(AW3:AW17)</f>
        <v>1355.54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17:D1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3"/>
  <sheetViews>
    <sheetView tabSelected="0" workbookViewId="0" showGridLines="true" showRowColHeaders="1">
      <pane ySplit="1" topLeftCell="A2" activePane="bottomLeft" state="frozen"/>
      <selection pane="bottomLeft" activeCell="I3" sqref="I3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1</v>
      </c>
      <c r="G1" s="1" t="s">
        <v>2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84</v>
      </c>
      <c r="C2" s="3" t="s">
        <v>85</v>
      </c>
      <c r="D2" s="15">
        <v>45142.0</v>
      </c>
      <c r="E2" t="s">
        <v>86</v>
      </c>
      <c r="F2" s="3" t="s">
        <v>43</v>
      </c>
      <c r="G2" t="s">
        <v>44</v>
      </c>
      <c r="H2" s="3" t="s">
        <v>87</v>
      </c>
      <c r="I2" s="4">
        <v>1.0</v>
      </c>
      <c r="J2" t="s">
        <v>88</v>
      </c>
      <c r="K2" t="s">
        <v>89</v>
      </c>
      <c r="L2" t="s">
        <v>90</v>
      </c>
    </row>
    <row r="3" spans="1:36">
      <c r="A3" s="3">
        <v>2</v>
      </c>
      <c r="B3" t="s">
        <v>91</v>
      </c>
      <c r="C3" s="3" t="s">
        <v>92</v>
      </c>
      <c r="D3" s="15">
        <v>45203.0</v>
      </c>
      <c r="E3" t="s">
        <v>93</v>
      </c>
      <c r="F3" s="3" t="s">
        <v>43</v>
      </c>
      <c r="G3" t="s">
        <v>44</v>
      </c>
      <c r="H3" s="3" t="s">
        <v>87</v>
      </c>
      <c r="I3" s="4">
        <v>1.0</v>
      </c>
      <c r="J3" t="s">
        <v>88</v>
      </c>
      <c r="K3" t="s">
        <v>89</v>
      </c>
      <c r="L3" t="s">
        <v>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2024-01-12T08:49:43+07:00</dcterms:created>
  <dcterms:modified xsi:type="dcterms:W3CDTF">2024-01-12T08:49:43+07:00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