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<sst xmlns="http://schemas.openxmlformats.org/spreadsheetml/2006/main" uniqueCount="72">
  <si>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</si>
  <si>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</si>
  <si>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</si>
  <si>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</si>
  <si>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</si>
  <si>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</si>
  <si>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</si>
  <si>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</si>
  <si>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</si>
  <si>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</si>
  <si>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</si>
  <si>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</si>
  <si>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</si>
  <si>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</si>
  <si>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</si>
  <si>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</si>
  <si>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</si>
  <si>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</si>
  <si>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</si>
  <si>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</si>
  <si>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</si>
  <si>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</si>
  <si>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</si>
  <si>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</si>
  <si>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</si>
  <si>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</si>
  <si>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</si>
  <si>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</si>
  <si>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</si>
  <si>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</si>
  <si>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</si>
  <si>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</si>
  <si>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</si>
  <si>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</si>
  <si>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</si>
  <si>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</si>
  <si>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</si>
  <si>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</si>
  <si>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</si>
  <si>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</si>
  <si>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</si>
  <si>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</si>
  <si>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</si>
  <si>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05-013-530</t>
  </si>
  <si>
    <t>ดอกตรงคาร์ไบด์ AA1 1/4x3 mm.</t>
  </si>
  <si>
    <t>D23</t>
  </si>
  <si>
    <t>DEAD</t>
  </si>
  <si>
    <t>32-351-015</t>
  </si>
  <si>
    <t>จานทรายหลังอ่อน 4" เบอร์ 60</t>
  </si>
  <si>
    <t>M</t>
  </si>
  <si>
    <t>37-511-311</t>
  </si>
  <si>
    <t>สายเชื่อมดำ 35sqmm(1000เส้น)300A</t>
  </si>
  <si>
    <t>A</t>
  </si>
  <si>
    <t>ZZ-000-251</t>
  </si>
  <si>
    <t>สว่านกระแทก 4 หุน GSB10RE Bosch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</si>
  <si>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</si>
  <si>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</si>
  <si>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</si>
  <si>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</si>
  <si>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</si>
  <si>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</si>
  <si>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</si>
  <si>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</si>
  <si>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</si>
  <si>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</si>
  <si>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2</t>
  </si>
  <si>
    <t>PN-65044093</t>
  </si>
  <si>
    <t>M-00041 - ซีอาร์ซี ไทวัสดุ (สาขาสระบุรี)</t>
  </si>
  <si>
    <t>WP4</t>
  </si>
  <si>
    <t>เมตร</t>
  </si>
  <si>
    <t>สินค้าชำรุดสภาพดี AX</t>
  </si>
  <si>
    <t>สายเชื่อมแตกชำรุด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</si>
</sst>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7" sqref="AW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100.0</v>
      </c>
      <c r="F3" s="5">
        <v>4421.8</v>
      </c>
      <c r="G3" s="6">
        <v>0</v>
      </c>
      <c r="H3" s="6">
        <v>0</v>
      </c>
      <c r="I3" s="6">
        <v>0</v>
      </c>
      <c r="J3" s="6">
        <v>0</v>
      </c>
      <c r="K3" s="4">
        <v>473.454534</v>
      </c>
      <c r="L3" s="5">
        <v>72911.998236</v>
      </c>
      <c r="M3" s="7">
        <v>1.0</v>
      </c>
      <c r="N3" s="4">
        <v>344.0</v>
      </c>
      <c r="O3" s="4">
        <v>31.181818</v>
      </c>
      <c r="P3" s="4">
        <v>372.0</v>
      </c>
      <c r="Q3" s="4">
        <v>33.818181</v>
      </c>
      <c r="R3" s="6">
        <v>0</v>
      </c>
      <c r="S3" s="6">
        <v>0</v>
      </c>
      <c r="T3" s="4">
        <v>31.0</v>
      </c>
      <c r="U3" s="8" t="s">
        <v>46</v>
      </c>
      <c r="V3" s="5">
        <v>56264.64</v>
      </c>
      <c r="W3" s="5">
        <v>163.56</v>
      </c>
      <c r="X3" s="5">
        <v>64018.794</v>
      </c>
      <c r="Y3" s="5">
        <v>186.10114534884</v>
      </c>
      <c r="Z3" s="5">
        <v>7754.154</v>
      </c>
      <c r="AA3" s="5">
        <v>22.541145348837</v>
      </c>
      <c r="AB3" s="9">
        <v>0.12112308769828</v>
      </c>
      <c r="AC3" s="4">
        <v>344.0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59795.419</v>
      </c>
      <c r="AK3" s="5">
        <v>160.74037365591</v>
      </c>
      <c r="AL3" s="5">
        <v>72445.1</v>
      </c>
      <c r="AM3" s="5">
        <v>194.74489247312</v>
      </c>
      <c r="AN3" s="5">
        <v>12649.681</v>
      </c>
      <c r="AO3" s="5">
        <v>34.004518817204</v>
      </c>
      <c r="AP3" s="9">
        <v>0.17461058097787</v>
      </c>
      <c r="AQ3" s="4">
        <v>372.0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47</v>
      </c>
      <c r="C4" t="s">
        <v>48</v>
      </c>
      <c r="D4" s="3" t="s">
        <v>49</v>
      </c>
      <c r="E4" s="4">
        <v>10.0</v>
      </c>
      <c r="F4" s="5">
        <v>230.0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10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8" t="s">
        <v>46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3">
        <v>0</v>
      </c>
      <c r="AC4" s="6">
        <v>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3">
        <v>0</v>
      </c>
      <c r="AQ4" s="6">
        <v>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50</v>
      </c>
      <c r="C5" t="s">
        <v>51</v>
      </c>
      <c r="D5" s="3" t="s">
        <v>52</v>
      </c>
      <c r="E5" s="4">
        <v>900.0</v>
      </c>
      <c r="F5" s="5">
        <v>45900.0</v>
      </c>
      <c r="G5" s="6">
        <v>0</v>
      </c>
      <c r="H5" s="6">
        <v>0</v>
      </c>
      <c r="I5" s="6">
        <v>0</v>
      </c>
      <c r="J5" s="6">
        <v>0</v>
      </c>
      <c r="K5" s="4">
        <v>31360.0</v>
      </c>
      <c r="L5" s="5">
        <v>1644204.8</v>
      </c>
      <c r="M5" s="7">
        <v>1.0</v>
      </c>
      <c r="N5" s="4">
        <v>23600.0</v>
      </c>
      <c r="O5" s="4">
        <v>2018.181818</v>
      </c>
      <c r="P5" s="4">
        <v>26140.0</v>
      </c>
      <c r="Q5" s="4">
        <v>2240.0</v>
      </c>
      <c r="R5" s="4">
        <v>2200.0</v>
      </c>
      <c r="S5" s="5">
        <v>115346.0</v>
      </c>
      <c r="T5" s="4">
        <v>2186.666666</v>
      </c>
      <c r="U5" s="11">
        <v>1.0060975612823</v>
      </c>
      <c r="V5" s="5">
        <v>1161600.0</v>
      </c>
      <c r="W5" s="5">
        <v>49.220338983051</v>
      </c>
      <c r="X5" s="5">
        <v>1573340.5</v>
      </c>
      <c r="Y5" s="5">
        <v>66.666970338983</v>
      </c>
      <c r="Z5" s="5">
        <v>411740.5</v>
      </c>
      <c r="AA5" s="5">
        <v>17.446631355932</v>
      </c>
      <c r="AB5" s="12">
        <v>0.26169827828115</v>
      </c>
      <c r="AC5" s="4">
        <v>23600.0</v>
      </c>
      <c r="AD5" s="4">
        <v>100.0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1280794.0</v>
      </c>
      <c r="AK5" s="5">
        <v>48.997475133894</v>
      </c>
      <c r="AL5" s="5">
        <v>1742626.74</v>
      </c>
      <c r="AM5" s="5">
        <v>66.665139250191</v>
      </c>
      <c r="AN5" s="5">
        <v>461832.74</v>
      </c>
      <c r="AO5" s="5">
        <v>17.667664116297</v>
      </c>
      <c r="AP5" s="12">
        <v>0.26502103370685</v>
      </c>
      <c r="AQ5" s="4">
        <v>26140.0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53</v>
      </c>
      <c r="C6" t="s">
        <v>54</v>
      </c>
      <c r="D6" s="3" t="s">
        <v>49</v>
      </c>
      <c r="E6" s="4">
        <v>1.0</v>
      </c>
      <c r="F6" s="5">
        <v>1475.8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10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8" t="s">
        <v>46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3">
        <v>0</v>
      </c>
      <c r="AC6" s="6">
        <v>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1" t="s">
        <v>55</v>
      </c>
      <c r="B7" s="1"/>
      <c r="C7" s="1"/>
      <c r="D7" s="1"/>
      <c r="E7" s="1"/>
      <c r="F7" s="13">
        <f>SUM(F3:F7)</f>
        <v>52027.6</v>
      </c>
      <c r="G7" s="1"/>
      <c r="H7" s="13">
        <f>SUM(H3:H7)</f>
        <v>0</v>
      </c>
      <c r="I7" s="1"/>
      <c r="J7" s="13">
        <f>SUM(J3:J7)</f>
        <v>0</v>
      </c>
      <c r="K7" s="1"/>
      <c r="L7" s="13">
        <f>SUM(L3:L7)</f>
        <v>1717116.798236</v>
      </c>
      <c r="M7" s="1"/>
      <c r="N7" s="1"/>
      <c r="O7" s="1"/>
      <c r="P7" s="1"/>
      <c r="Q7" s="1"/>
      <c r="R7" s="1"/>
      <c r="S7" s="13">
        <f>SUM(S3:S7)</f>
        <v>115346</v>
      </c>
      <c r="T7" s="1"/>
      <c r="U7" s="1"/>
      <c r="V7" s="13">
        <f>SUM(V3:V7)</f>
        <v>1217864.64</v>
      </c>
      <c r="W7" s="1"/>
      <c r="X7" s="13">
        <f>SUM(X3:X7)</f>
        <v>1637359.294</v>
      </c>
      <c r="Y7" s="1"/>
      <c r="Z7" s="13">
        <f>SUM(Z3:Z7)</f>
        <v>419494.654</v>
      </c>
      <c r="AA7" s="1"/>
      <c r="AB7" s="1"/>
      <c r="AC7" s="1"/>
      <c r="AD7" s="1"/>
      <c r="AE7" s="1"/>
      <c r="AF7" s="13">
        <f>SUM(AF3:AF7)</f>
        <v>0</v>
      </c>
      <c r="AG7" s="1"/>
      <c r="AH7" s="1"/>
      <c r="AI7" s="13">
        <f>SUM(AI3:AI7)</f>
        <v>0</v>
      </c>
      <c r="AJ7" s="13">
        <f>SUM(AJ3:V7)</f>
        <v>7914576.5140527</v>
      </c>
      <c r="AK7" s="1"/>
      <c r="AL7" s="13">
        <f>SUM(AL3:AL7)</f>
        <v>1815071.84</v>
      </c>
      <c r="AM7" s="1"/>
      <c r="AN7" s="13">
        <f>SUM(AN3:AN7)</f>
        <v>474482.421</v>
      </c>
      <c r="AO7" s="1"/>
      <c r="AP7" s="1"/>
      <c r="AQ7" s="1"/>
      <c r="AR7" s="1"/>
      <c r="AS7" s="1"/>
      <c r="AT7" s="13">
        <f>SUM(AT3:AT7)</f>
        <v>0</v>
      </c>
      <c r="AU7" s="1"/>
      <c r="AV7" s="1"/>
      <c r="AW7" s="13">
        <f>SUM(AW3:AW7)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7:D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"/>
  <sheetViews>
    <sheetView tabSelected="0" workbookViewId="0" showGridLines="true" showRowColHeaders="1">
      <pane ySplit="1" topLeftCell="A2" activePane="bottomLeft" state="frozen"/>
      <selection pane="bottomLeft" activeCell="I2" sqref="I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1</v>
      </c>
      <c r="G1" s="1" t="s">
        <v>2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65</v>
      </c>
      <c r="C2" s="3" t="s">
        <v>66</v>
      </c>
      <c r="D2" s="14">
        <v>44676.0</v>
      </c>
      <c r="E2" t="s">
        <v>67</v>
      </c>
      <c r="F2" s="3" t="s">
        <v>50</v>
      </c>
      <c r="G2" t="s">
        <v>51</v>
      </c>
      <c r="H2" s="3" t="s">
        <v>68</v>
      </c>
      <c r="I2" s="4">
        <v>100.0</v>
      </c>
      <c r="J2" t="s">
        <v>69</v>
      </c>
      <c r="K2" t="s">
        <v>70</v>
      </c>
      <c r="L2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2023-12-29T14:07:36+07:00</dcterms:created>
  <dcterms:modified xsi:type="dcterms:W3CDTF">2023-12-29T14:07:36+07:00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