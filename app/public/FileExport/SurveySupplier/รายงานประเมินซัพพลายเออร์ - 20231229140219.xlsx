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<sst xmlns="http://schemas.openxmlformats.org/spreadsheetml/2006/main" uniqueCount="122">
  <si>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</si>
  <si>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</si>
  <si>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</si>
  <si>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</si>
  <si>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</si>
  <si>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</si>
  <si>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</si>
  <si>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</si>
  <si>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</si>
  <si>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</si>
  <si>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</si>
  <si>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</si>
  <si>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</si>
  <si>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</si>
  <si>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</si>
  <si>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</si>
  <si>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</si>
  <si>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</si>
  <si>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</si>
  <si>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</si>
  <si>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</si>
  <si>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</si>
  <si>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</si>
  <si>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</si>
  <si>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</si>
  <si>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</si>
  <si>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</si>
  <si>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</si>
  <si>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</si>
  <si>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</si>
  <si>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</si>
  <si>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</si>
  <si>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</si>
  <si>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</si>
  <si>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</si>
  <si>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</si>
  <si>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</si>
  <si>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</si>
  <si>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</si>
  <si>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</si>
  <si>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</si>
  <si>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</si>
  <si>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</si>
  <si>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06-504-009</t>
  </si>
  <si>
    <t>มู่เล่ย์เครื่องสีข้าว (มู่เล่ย์มอเตอร์)</t>
  </si>
  <si>
    <t>M</t>
  </si>
  <si>
    <t>06-504-201</t>
  </si>
  <si>
    <t>มอเตอร์เครื่องสีข้าว MARK III</t>
  </si>
  <si>
    <t>DEAD</t>
  </si>
  <si>
    <t>00-611-021</t>
  </si>
  <si>
    <t>ค่าขนส่งสินค้า</t>
  </si>
  <si>
    <t>06-504-013</t>
  </si>
  <si>
    <t>ลูกปืน (มู่เลย์เครื่องสีข้าว)</t>
  </si>
  <si>
    <t>06-504-036</t>
  </si>
  <si>
    <t>ชุดน็อตประกอบเครื่องสีข้าว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</si>
  <si>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</si>
  <si>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</si>
  <si>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</si>
  <si>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</si>
  <si>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</si>
  <si>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</si>
  <si>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06-504-240</t>
  </si>
  <si>
    <t>ชุดฟันบด (ฝั่งฝาปิด) MARK III</t>
  </si>
  <si>
    <t>34-103-001</t>
  </si>
  <si>
    <t>เครื่องสับต้นกล้วยขนาดเล็ก EUROX 1/3 Hp</t>
  </si>
  <si>
    <t>D23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</si>
  <si>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</si>
  <si>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</si>
  <si>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</si>
  <si>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</si>
  <si>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</si>
  <si>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</si>
  <si>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</si>
  <si>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</si>
  <si>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</si>
  <si>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</si>
  <si>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</si>
  <si>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PE-65021012</t>
  </si>
  <si>
    <t>C-00369 - พะเยานำไพศาล</t>
  </si>
  <si>
    <t>WP4</t>
  </si>
  <si>
    <t>ตัว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</si>
  <si>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</si>
  <si>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</si>
  <si>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</si>
  <si>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</si>
  <si>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</si>
  <si>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</si>
  <si>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</si>
  <si>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</si>
  <si>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สินค้าชำรุดสภาพดี AX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</si>
  <si>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</si>
  <si>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</si>
  <si>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</si>
  <si>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</si>
  <si>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</si>
  <si>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</si>
  <si>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</si>
  <si>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</si>
  <si>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</si>
  <si>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</si>
  <si>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</si>
  <si>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ฝ่ายขายโมเดิร์นเทรด 1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</si>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</sst>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3" sqref="AW1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10.0</v>
      </c>
      <c r="H3" s="6">
        <v>8500.0</v>
      </c>
      <c r="I3" s="4">
        <v>0</v>
      </c>
      <c r="J3" s="4">
        <v>0</v>
      </c>
      <c r="K3" s="5">
        <v>2.545452</v>
      </c>
      <c r="L3" s="6">
        <v>2163.6342</v>
      </c>
      <c r="M3" s="7">
        <v>1.0</v>
      </c>
      <c r="N3" s="5">
        <v>3.0</v>
      </c>
      <c r="O3" s="5">
        <v>0.272727</v>
      </c>
      <c r="P3" s="5">
        <v>2.0</v>
      </c>
      <c r="Q3" s="5">
        <v>0.181818</v>
      </c>
      <c r="R3" s="5">
        <v>8.0</v>
      </c>
      <c r="S3" s="6">
        <v>6800.0</v>
      </c>
      <c r="T3" s="5">
        <v>0.166666</v>
      </c>
      <c r="U3" s="8">
        <v>48.000192000768</v>
      </c>
      <c r="V3" s="6">
        <v>1962.62</v>
      </c>
      <c r="W3" s="6">
        <v>654.20666666667</v>
      </c>
      <c r="X3" s="6">
        <v>2093.458</v>
      </c>
      <c r="Y3" s="6">
        <v>697.81933333333</v>
      </c>
      <c r="Z3" s="6">
        <v>130.838</v>
      </c>
      <c r="AA3" s="6">
        <v>43.612666666667</v>
      </c>
      <c r="AB3" s="9">
        <v>0.062498507254504</v>
      </c>
      <c r="AC3" s="5">
        <v>3.0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631.86</v>
      </c>
      <c r="AK3" s="6">
        <v>315.93</v>
      </c>
      <c r="AL3" s="6">
        <v>2149.532</v>
      </c>
      <c r="AM3" s="6">
        <v>1074.766</v>
      </c>
      <c r="AN3" s="6">
        <v>1517.672</v>
      </c>
      <c r="AO3" s="6">
        <v>758.836</v>
      </c>
      <c r="AP3" s="10">
        <v>0.70604764199835</v>
      </c>
      <c r="AQ3" s="5">
        <v>2.0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5">
        <v>30.0</v>
      </c>
      <c r="F4" s="6">
        <v>76500.0</v>
      </c>
      <c r="G4" s="5">
        <v>1.0</v>
      </c>
      <c r="H4" s="6">
        <v>3200.0</v>
      </c>
      <c r="I4" s="4">
        <v>0</v>
      </c>
      <c r="J4" s="4">
        <v>0</v>
      </c>
      <c r="K4" s="5">
        <v>14.0</v>
      </c>
      <c r="L4" s="6">
        <v>37800.014</v>
      </c>
      <c r="M4" s="7">
        <v>1.0</v>
      </c>
      <c r="N4" s="5">
        <v>241.0</v>
      </c>
      <c r="O4" s="5">
        <v>21.818181</v>
      </c>
      <c r="P4" s="5">
        <v>11.0</v>
      </c>
      <c r="Q4" s="5">
        <v>1.0</v>
      </c>
      <c r="R4" s="4">
        <v>0</v>
      </c>
      <c r="S4" s="4">
        <v>0</v>
      </c>
      <c r="T4" s="5">
        <v>0.916666</v>
      </c>
      <c r="U4" s="11" t="s">
        <v>48</v>
      </c>
      <c r="V4" s="6">
        <v>573719.804</v>
      </c>
      <c r="W4" s="6">
        <v>2380.5800995851</v>
      </c>
      <c r="X4" s="6">
        <v>191839.155</v>
      </c>
      <c r="Y4" s="6">
        <v>796.01309128631</v>
      </c>
      <c r="Z4" s="6">
        <v>-381880.649</v>
      </c>
      <c r="AA4" s="6">
        <v>-1584.5670082988</v>
      </c>
      <c r="AB4" s="12">
        <v>-1.9906293321611</v>
      </c>
      <c r="AC4" s="5">
        <v>241.0</v>
      </c>
      <c r="AD4" s="5">
        <v>13.0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27476.65</v>
      </c>
      <c r="AK4" s="6">
        <v>2497.8772727273</v>
      </c>
      <c r="AL4" s="6">
        <v>35721.99</v>
      </c>
      <c r="AM4" s="6">
        <v>3247.4536363636</v>
      </c>
      <c r="AN4" s="6">
        <v>8245.34</v>
      </c>
      <c r="AO4" s="6">
        <v>749.57636363636</v>
      </c>
      <c r="AP4" s="9">
        <v>0.23081972756837</v>
      </c>
      <c r="AQ4" s="5">
        <v>11.0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/>
      <c r="E5" s="5">
        <v>1.0</v>
      </c>
      <c r="F5" s="6">
        <v>100.0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13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11" t="s">
        <v>48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5">
        <v>70.0</v>
      </c>
      <c r="F6" s="6">
        <v>16780.0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3">
        <v>0</v>
      </c>
      <c r="N6" s="5">
        <v>20.0</v>
      </c>
      <c r="O6" s="5">
        <v>1.818181</v>
      </c>
      <c r="P6" s="4">
        <v>0</v>
      </c>
      <c r="Q6" s="4">
        <v>0</v>
      </c>
      <c r="R6" s="5">
        <v>30.0</v>
      </c>
      <c r="S6" s="6">
        <v>7500.0</v>
      </c>
      <c r="T6" s="4">
        <v>0</v>
      </c>
      <c r="U6" s="11" t="s">
        <v>48</v>
      </c>
      <c r="V6" s="6">
        <v>4672.9</v>
      </c>
      <c r="W6" s="6">
        <v>233.645</v>
      </c>
      <c r="X6" s="6">
        <v>4990.65</v>
      </c>
      <c r="Y6" s="6">
        <v>249.5325</v>
      </c>
      <c r="Z6" s="6">
        <v>317.75</v>
      </c>
      <c r="AA6" s="6">
        <v>15.8875</v>
      </c>
      <c r="AB6" s="9">
        <v>0.06366906114434</v>
      </c>
      <c r="AC6" s="5">
        <v>20.0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5">
        <v>2.0</v>
      </c>
      <c r="F7" s="6">
        <v>3327.09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3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11" t="s">
        <v>48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5">
        <v>2.0</v>
      </c>
      <c r="F8" s="6">
        <v>3327.09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3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11" t="s">
        <v>48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5">
        <v>5.0</v>
      </c>
      <c r="F9" s="6">
        <v>850.0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3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11" t="s">
        <v>48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5">
        <v>5.0</v>
      </c>
      <c r="F10" s="6">
        <v>500.0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3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1" t="s">
        <v>48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0</v>
      </c>
      <c r="F11" s="4">
        <v>0</v>
      </c>
      <c r="G11" s="4">
        <v>0</v>
      </c>
      <c r="H11" s="4">
        <v>0</v>
      </c>
      <c r="I11" s="5">
        <v>20.0</v>
      </c>
      <c r="J11" s="6">
        <v>7000.0</v>
      </c>
      <c r="K11" s="4">
        <v>0</v>
      </c>
      <c r="L11" s="4">
        <v>0</v>
      </c>
      <c r="M11" s="13">
        <v>0</v>
      </c>
      <c r="N11" s="4">
        <v>0</v>
      </c>
      <c r="O11" s="4">
        <v>0</v>
      </c>
      <c r="P11" s="4">
        <v>0</v>
      </c>
      <c r="Q11" s="4">
        <v>0</v>
      </c>
      <c r="R11" s="5">
        <v>20.0</v>
      </c>
      <c r="S11" s="6">
        <v>7000.0</v>
      </c>
      <c r="T11" s="4">
        <v>0</v>
      </c>
      <c r="U11" s="11" t="s">
        <v>48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63</v>
      </c>
      <c r="C12" t="s">
        <v>64</v>
      </c>
      <c r="D12" s="3" t="s">
        <v>65</v>
      </c>
      <c r="E12" s="5">
        <v>50.0</v>
      </c>
      <c r="F12" s="6">
        <v>80000.05</v>
      </c>
      <c r="G12" s="4">
        <v>0</v>
      </c>
      <c r="H12" s="4">
        <v>0</v>
      </c>
      <c r="I12" s="4">
        <v>0</v>
      </c>
      <c r="J12" s="4">
        <v>0</v>
      </c>
      <c r="K12" s="5">
        <v>127.272726</v>
      </c>
      <c r="L12" s="6">
        <v>276181.81542</v>
      </c>
      <c r="M12" s="7">
        <v>1.0</v>
      </c>
      <c r="N12" s="5">
        <v>683.0</v>
      </c>
      <c r="O12" s="5">
        <v>61.636363</v>
      </c>
      <c r="P12" s="5">
        <v>99.0</v>
      </c>
      <c r="Q12" s="5">
        <v>9.090909</v>
      </c>
      <c r="R12" s="5">
        <v>43.0</v>
      </c>
      <c r="S12" s="6">
        <v>93310.0</v>
      </c>
      <c r="T12" s="5">
        <v>8.25</v>
      </c>
      <c r="U12" s="14">
        <v>5.2121212121212</v>
      </c>
      <c r="V12" s="6">
        <v>1385691.368</v>
      </c>
      <c r="W12" s="6">
        <v>2028.8306998536</v>
      </c>
      <c r="X12" s="6">
        <v>1809046.732</v>
      </c>
      <c r="Y12" s="6">
        <v>2648.6774992679</v>
      </c>
      <c r="Z12" s="6">
        <v>423355.364</v>
      </c>
      <c r="AA12" s="6">
        <v>619.84679941435</v>
      </c>
      <c r="AB12" s="9">
        <v>0.23402124252034</v>
      </c>
      <c r="AC12" s="5">
        <v>683.0</v>
      </c>
      <c r="AD12" s="5">
        <v>2.0</v>
      </c>
      <c r="AE12" s="4">
        <v>0</v>
      </c>
      <c r="AF12" s="4">
        <v>0</v>
      </c>
      <c r="AG12" s="3">
        <v>0</v>
      </c>
      <c r="AH12" s="5">
        <v>1.0</v>
      </c>
      <c r="AI12" s="6">
        <v>2170.0</v>
      </c>
      <c r="AJ12" s="6">
        <v>204697.251</v>
      </c>
      <c r="AK12" s="6">
        <v>2067.649</v>
      </c>
      <c r="AL12" s="6">
        <v>284532.635</v>
      </c>
      <c r="AM12" s="6">
        <v>2874.067020202</v>
      </c>
      <c r="AN12" s="6">
        <v>79835.384</v>
      </c>
      <c r="AO12" s="6">
        <v>806.41802020202</v>
      </c>
      <c r="AP12" s="10">
        <v>0.2805842781444</v>
      </c>
      <c r="AQ12" s="5">
        <v>99.0</v>
      </c>
      <c r="AR12" s="5">
        <v>1.0</v>
      </c>
      <c r="AS12" s="4">
        <v>0</v>
      </c>
      <c r="AT12" s="4">
        <v>0</v>
      </c>
      <c r="AU12" s="3">
        <v>0</v>
      </c>
      <c r="AV12" s="5">
        <v>1.0</v>
      </c>
      <c r="AW12" s="6">
        <v>2170.0</v>
      </c>
    </row>
    <row r="13" spans="1:49">
      <c r="A13" s="1" t="s">
        <v>66</v>
      </c>
      <c r="B13" s="1"/>
      <c r="C13" s="1"/>
      <c r="D13" s="1"/>
      <c r="E13" s="1"/>
      <c r="F13" s="15">
        <f>SUM(F3:F13)</f>
        <v>181384.23</v>
      </c>
      <c r="G13" s="1"/>
      <c r="H13" s="15">
        <f>SUM(H3:H13)</f>
        <v>11700</v>
      </c>
      <c r="I13" s="1"/>
      <c r="J13" s="15">
        <f>SUM(J3:J13)</f>
        <v>7000</v>
      </c>
      <c r="K13" s="1"/>
      <c r="L13" s="15">
        <f>SUM(L3:L13)</f>
        <v>316145.46362</v>
      </c>
      <c r="M13" s="1"/>
      <c r="N13" s="1"/>
      <c r="O13" s="1"/>
      <c r="P13" s="1"/>
      <c r="Q13" s="1"/>
      <c r="R13" s="1"/>
      <c r="S13" s="15">
        <f>SUM(S3:S13)</f>
        <v>114610</v>
      </c>
      <c r="T13" s="1"/>
      <c r="U13" s="1"/>
      <c r="V13" s="15">
        <f>SUM(V3:V13)</f>
        <v>1966046.692</v>
      </c>
      <c r="W13" s="1"/>
      <c r="X13" s="15">
        <f>SUM(X3:X13)</f>
        <v>2007969.995</v>
      </c>
      <c r="Y13" s="1"/>
      <c r="Z13" s="15">
        <f>SUM(Z3:Z13)</f>
        <v>41923.303</v>
      </c>
      <c r="AA13" s="1"/>
      <c r="AB13" s="1"/>
      <c r="AC13" s="1"/>
      <c r="AD13" s="1"/>
      <c r="AE13" s="1"/>
      <c r="AF13" s="15">
        <f>SUM(AF3:AF13)</f>
        <v>0</v>
      </c>
      <c r="AG13" s="1"/>
      <c r="AH13" s="1"/>
      <c r="AI13" s="15">
        <f>SUM(AI3:AI13)</f>
        <v>2170</v>
      </c>
      <c r="AJ13" s="15">
        <f>SUM(AJ3:V13)</f>
        <v>8278771.1954073</v>
      </c>
      <c r="AK13" s="1"/>
      <c r="AL13" s="15">
        <f>SUM(AL3:AL13)</f>
        <v>322404.157</v>
      </c>
      <c r="AM13" s="1"/>
      <c r="AN13" s="15">
        <f>SUM(AN3:AN13)</f>
        <v>89598.396</v>
      </c>
      <c r="AO13" s="1"/>
      <c r="AP13" s="1"/>
      <c r="AQ13" s="1"/>
      <c r="AR13" s="1"/>
      <c r="AS13" s="1"/>
      <c r="AT13" s="15">
        <f>SUM(AT3:AT13)</f>
        <v>0</v>
      </c>
      <c r="AU13" s="1"/>
      <c r="AV13" s="1"/>
      <c r="AW13" s="15">
        <f>SUM(AW3:AW13)</f>
        <v>2170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5"/>
  <sheetViews>
    <sheetView tabSelected="0" workbookViewId="0" showGridLines="true" showRowColHeaders="1">
      <pane ySplit="1" topLeftCell="A2" activePane="bottomLeft" state="frozen"/>
      <selection pane="bottomLeft" activeCell="I15" sqref="I1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1</v>
      </c>
      <c r="G1" s="1" t="s">
        <v>2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76</v>
      </c>
      <c r="C2" s="3" t="s">
        <v>77</v>
      </c>
      <c r="D2" s="16">
        <v>44603.0</v>
      </c>
      <c r="E2" t="s">
        <v>78</v>
      </c>
      <c r="F2" s="3" t="s">
        <v>46</v>
      </c>
      <c r="G2" t="s">
        <v>47</v>
      </c>
      <c r="H2" s="3" t="s">
        <v>79</v>
      </c>
      <c r="I2" s="5">
        <v>3.0</v>
      </c>
      <c r="J2" t="s">
        <v>80</v>
      </c>
      <c r="K2" t="s">
        <v>81</v>
      </c>
      <c r="L2" t="s">
        <v>82</v>
      </c>
    </row>
    <row r="3" spans="1:36">
      <c r="A3" s="3">
        <v>2</v>
      </c>
      <c r="B3" t="s">
        <v>83</v>
      </c>
      <c r="C3" s="3" t="s">
        <v>84</v>
      </c>
      <c r="D3" s="16">
        <v>44609.0</v>
      </c>
      <c r="E3" t="s">
        <v>85</v>
      </c>
      <c r="F3" s="3" t="s">
        <v>46</v>
      </c>
      <c r="G3" t="s">
        <v>47</v>
      </c>
      <c r="H3" s="3" t="s">
        <v>79</v>
      </c>
      <c r="I3" s="5">
        <v>1.0</v>
      </c>
      <c r="J3" t="s">
        <v>80</v>
      </c>
      <c r="K3" t="s">
        <v>81</v>
      </c>
      <c r="L3" t="s">
        <v>86</v>
      </c>
    </row>
    <row r="4" spans="1:36">
      <c r="A4" s="3">
        <v>3</v>
      </c>
      <c r="B4" t="s">
        <v>76</v>
      </c>
      <c r="C4" s="3" t="s">
        <v>87</v>
      </c>
      <c r="D4" s="16">
        <v>44628.0</v>
      </c>
      <c r="E4" t="s">
        <v>88</v>
      </c>
      <c r="F4" s="3" t="s">
        <v>46</v>
      </c>
      <c r="G4" t="s">
        <v>47</v>
      </c>
      <c r="H4" s="3" t="s">
        <v>79</v>
      </c>
      <c r="I4" s="5">
        <v>1.0</v>
      </c>
      <c r="J4" t="s">
        <v>80</v>
      </c>
      <c r="K4" t="s">
        <v>89</v>
      </c>
      <c r="L4" t="s">
        <v>90</v>
      </c>
    </row>
    <row r="5" spans="1:36">
      <c r="A5" s="3">
        <v>4</v>
      </c>
      <c r="B5" t="s">
        <v>76</v>
      </c>
      <c r="C5" s="3" t="s">
        <v>91</v>
      </c>
      <c r="D5" s="16">
        <v>44631.0</v>
      </c>
      <c r="E5" t="s">
        <v>92</v>
      </c>
      <c r="F5" s="3" t="s">
        <v>46</v>
      </c>
      <c r="G5" t="s">
        <v>47</v>
      </c>
      <c r="H5" s="3" t="s">
        <v>79</v>
      </c>
      <c r="I5" s="5">
        <v>1.0</v>
      </c>
      <c r="J5" t="s">
        <v>80</v>
      </c>
      <c r="K5" t="s">
        <v>89</v>
      </c>
      <c r="L5" t="s">
        <v>93</v>
      </c>
    </row>
    <row r="6" spans="1:36">
      <c r="A6" s="3">
        <v>5</v>
      </c>
      <c r="B6" t="s">
        <v>76</v>
      </c>
      <c r="C6" s="3" t="s">
        <v>94</v>
      </c>
      <c r="D6" s="16">
        <v>44641.0</v>
      </c>
      <c r="E6" t="s">
        <v>78</v>
      </c>
      <c r="F6" s="3" t="s">
        <v>46</v>
      </c>
      <c r="G6" t="s">
        <v>47</v>
      </c>
      <c r="H6" s="3" t="s">
        <v>79</v>
      </c>
      <c r="I6" s="5">
        <v>1.0</v>
      </c>
      <c r="J6" t="s">
        <v>80</v>
      </c>
      <c r="K6" t="s">
        <v>81</v>
      </c>
      <c r="L6" t="s">
        <v>95</v>
      </c>
    </row>
    <row r="7" spans="1:36">
      <c r="A7" s="3">
        <v>6</v>
      </c>
      <c r="B7" t="s">
        <v>76</v>
      </c>
      <c r="C7" s="3" t="s">
        <v>96</v>
      </c>
      <c r="D7" s="16">
        <v>44642.0</v>
      </c>
      <c r="E7" t="s">
        <v>97</v>
      </c>
      <c r="F7" s="3" t="s">
        <v>46</v>
      </c>
      <c r="G7" t="s">
        <v>47</v>
      </c>
      <c r="H7" s="3" t="s">
        <v>79</v>
      </c>
      <c r="I7" s="5">
        <v>1.0</v>
      </c>
      <c r="J7" t="s">
        <v>80</v>
      </c>
      <c r="K7" t="s">
        <v>81</v>
      </c>
      <c r="L7" t="s">
        <v>86</v>
      </c>
    </row>
    <row r="8" spans="1:36">
      <c r="A8" s="3">
        <v>7</v>
      </c>
      <c r="B8" t="s">
        <v>83</v>
      </c>
      <c r="C8" s="3" t="s">
        <v>98</v>
      </c>
      <c r="D8" s="16">
        <v>44646.0</v>
      </c>
      <c r="E8" t="s">
        <v>99</v>
      </c>
      <c r="F8" s="3" t="s">
        <v>46</v>
      </c>
      <c r="G8" t="s">
        <v>47</v>
      </c>
      <c r="H8" s="3" t="s">
        <v>79</v>
      </c>
      <c r="I8" s="5">
        <v>1.0</v>
      </c>
      <c r="J8" t="s">
        <v>80</v>
      </c>
      <c r="K8" t="s">
        <v>89</v>
      </c>
      <c r="L8" t="s">
        <v>100</v>
      </c>
    </row>
    <row r="9" spans="1:36">
      <c r="A9" s="3">
        <v>8</v>
      </c>
      <c r="B9" t="s">
        <v>101</v>
      </c>
      <c r="C9" s="3" t="s">
        <v>102</v>
      </c>
      <c r="D9" s="16">
        <v>44650.0</v>
      </c>
      <c r="E9" t="s">
        <v>103</v>
      </c>
      <c r="F9" s="3" t="s">
        <v>46</v>
      </c>
      <c r="G9" t="s">
        <v>47</v>
      </c>
      <c r="H9" s="3" t="s">
        <v>79</v>
      </c>
      <c r="I9" s="5">
        <v>1.0</v>
      </c>
      <c r="J9" t="s">
        <v>80</v>
      </c>
      <c r="K9" t="s">
        <v>81</v>
      </c>
      <c r="L9" t="s">
        <v>104</v>
      </c>
    </row>
    <row r="10" spans="1:36">
      <c r="A10" s="3">
        <v>9</v>
      </c>
      <c r="B10" t="s">
        <v>76</v>
      </c>
      <c r="C10" s="3" t="s">
        <v>105</v>
      </c>
      <c r="D10" s="16">
        <v>44700.0</v>
      </c>
      <c r="E10" t="s">
        <v>106</v>
      </c>
      <c r="F10" s="3" t="s">
        <v>46</v>
      </c>
      <c r="G10" t="s">
        <v>47</v>
      </c>
      <c r="H10" s="3" t="s">
        <v>79</v>
      </c>
      <c r="I10" s="5">
        <v>1.0</v>
      </c>
      <c r="J10" t="s">
        <v>80</v>
      </c>
      <c r="K10" t="s">
        <v>81</v>
      </c>
      <c r="L10" t="s">
        <v>107</v>
      </c>
    </row>
    <row r="11" spans="1:36">
      <c r="A11" s="3">
        <v>10</v>
      </c>
      <c r="B11" t="s">
        <v>101</v>
      </c>
      <c r="C11" s="3" t="s">
        <v>108</v>
      </c>
      <c r="D11" s="16">
        <v>44751.0</v>
      </c>
      <c r="E11" t="s">
        <v>109</v>
      </c>
      <c r="F11" s="3" t="s">
        <v>46</v>
      </c>
      <c r="G11" t="s">
        <v>47</v>
      </c>
      <c r="H11" s="3" t="s">
        <v>79</v>
      </c>
      <c r="I11" s="5">
        <v>1.0</v>
      </c>
      <c r="J11" t="s">
        <v>80</v>
      </c>
      <c r="K11" t="s">
        <v>89</v>
      </c>
      <c r="L11" t="s">
        <v>93</v>
      </c>
    </row>
    <row r="12" spans="1:36">
      <c r="A12" s="3">
        <v>11</v>
      </c>
      <c r="B12" t="s">
        <v>76</v>
      </c>
      <c r="C12" s="3" t="s">
        <v>110</v>
      </c>
      <c r="D12" s="16">
        <v>44849.0</v>
      </c>
      <c r="E12" t="s">
        <v>111</v>
      </c>
      <c r="F12" s="3" t="s">
        <v>46</v>
      </c>
      <c r="G12" t="s">
        <v>47</v>
      </c>
      <c r="H12" s="3" t="s">
        <v>79</v>
      </c>
      <c r="I12" s="5">
        <v>1.0</v>
      </c>
      <c r="J12" t="s">
        <v>80</v>
      </c>
      <c r="K12" t="s">
        <v>81</v>
      </c>
      <c r="L12" t="s">
        <v>112</v>
      </c>
    </row>
    <row r="13" spans="1:36">
      <c r="A13" s="3">
        <v>12</v>
      </c>
      <c r="B13" t="s">
        <v>76</v>
      </c>
      <c r="C13" s="3" t="s">
        <v>113</v>
      </c>
      <c r="D13" s="16">
        <v>44611.0</v>
      </c>
      <c r="E13" t="s">
        <v>114</v>
      </c>
      <c r="F13" s="3" t="s">
        <v>63</v>
      </c>
      <c r="G13" t="s">
        <v>64</v>
      </c>
      <c r="H13" s="3" t="s">
        <v>79</v>
      </c>
      <c r="I13" s="5">
        <v>1.0</v>
      </c>
      <c r="J13" t="s">
        <v>80</v>
      </c>
      <c r="K13" t="s">
        <v>115</v>
      </c>
      <c r="L13" t="s">
        <v>116</v>
      </c>
    </row>
    <row r="14" spans="1:36">
      <c r="A14" s="3">
        <v>13</v>
      </c>
      <c r="B14" t="s">
        <v>76</v>
      </c>
      <c r="C14" s="3" t="s">
        <v>117</v>
      </c>
      <c r="D14" s="16">
        <v>44834.0</v>
      </c>
      <c r="E14" t="s">
        <v>118</v>
      </c>
      <c r="F14" s="3" t="s">
        <v>63</v>
      </c>
      <c r="G14" t="s">
        <v>64</v>
      </c>
      <c r="H14" s="3" t="s">
        <v>79</v>
      </c>
      <c r="I14" s="5">
        <v>1.0</v>
      </c>
      <c r="J14" t="s">
        <v>80</v>
      </c>
      <c r="K14" t="s">
        <v>81</v>
      </c>
      <c r="L14" t="s">
        <v>119</v>
      </c>
    </row>
    <row r="15" spans="1:36">
      <c r="A15" s="3">
        <v>14</v>
      </c>
      <c r="B15" t="s">
        <v>76</v>
      </c>
      <c r="C15" s="3" t="s">
        <v>120</v>
      </c>
      <c r="D15" s="16">
        <v>45272.0</v>
      </c>
      <c r="E15" t="s">
        <v>106</v>
      </c>
      <c r="F15" s="3" t="s">
        <v>63</v>
      </c>
      <c r="G15" t="s">
        <v>64</v>
      </c>
      <c r="H15" s="3" t="s">
        <v>79</v>
      </c>
      <c r="I15" s="5">
        <v>1.0</v>
      </c>
      <c r="J15" t="s">
        <v>80</v>
      </c>
      <c r="K15" t="s">
        <v>89</v>
      </c>
      <c r="L1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2023-12-29T14:02:18+07:00</dcterms:created>
  <dcterms:modified xsi:type="dcterms:W3CDTF">2023-12-29T14:02:18+07:00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