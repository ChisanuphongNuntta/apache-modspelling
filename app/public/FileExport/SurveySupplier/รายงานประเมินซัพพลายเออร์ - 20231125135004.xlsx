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<sst xmlns="http://schemas.openxmlformats.org/spreadsheetml/2006/main" uniqueCount="214">
  <si>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</si>
  <si>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</si>
  <si>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</si>
  <si>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</si>
  <si>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</si>
  <si>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</si>
  <si>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</si>
  <si>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</si>
  <si>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</si>
  <si>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</si>
  <si>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</si>
  <si>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</si>
  <si>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</si>
  <si>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</si>
  <si>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</si>
  <si>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</si>
  <si>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</si>
  <si>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</si>
  <si>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</si>
  <si>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</si>
  <si>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</si>
  <si>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</si>
  <si>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</si>
  <si>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</si>
  <si>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</si>
  <si>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</si>
  <si>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</si>
  <si>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</si>
  <si>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</si>
  <si>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</si>
  <si>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</si>
  <si>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</si>
  <si>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</si>
  <si>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</si>
  <si>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</si>
  <si>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</si>
  <si>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</si>
  <si>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</si>
  <si>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</si>
  <si>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</si>
  <si>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</si>
  <si>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</si>
  <si>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34-106-001</t>
  </si>
  <si>
    <t>เครื่องเจาะดิน EUROX 5200CP (52.7CC)</t>
  </si>
  <si>
    <t>A</t>
  </si>
  <si>
    <t>34-103-001</t>
  </si>
  <si>
    <t>เครื่องสับต้นกล้วยขนาดเล็ก EUROX 1/3 Hp</t>
  </si>
  <si>
    <t>D23</t>
  </si>
  <si>
    <t>06-508-500</t>
  </si>
  <si>
    <t>ท่อเก็บเสียงเลื่อยโซ่ (ใช้กับรุ่น 5200,5800)</t>
  </si>
  <si>
    <t>M</t>
  </si>
  <si>
    <t>06-508-501</t>
  </si>
  <si>
    <t>ท่อเก็บเสียงเลื่อยโซ่ (ใช้กับรุ่น 070)</t>
  </si>
  <si>
    <t>06-501-378</t>
  </si>
  <si>
    <t>EU35 คาร์บูเรเตอร์</t>
  </si>
  <si>
    <t>06-501-367</t>
  </si>
  <si>
    <t>EU35 ชุดลานสตาร์ท</t>
  </si>
  <si>
    <t>DEAD</t>
  </si>
  <si>
    <t>06-501-357</t>
  </si>
  <si>
    <t>EU35 หัวเทียน</t>
  </si>
  <si>
    <t>05-004-225</t>
  </si>
  <si>
    <t>เครื่องสีข้าว EUROX รุ่นเต็มกระบุง (ตะแกรงแยกข้าว)</t>
  </si>
  <si>
    <t>D21</t>
  </si>
  <si>
    <t>05-004-226</t>
  </si>
  <si>
    <t>เครื่องสีข้าว EUROX (ตะแกรงแยกข้าว) ไม่มีมอเตอร์</t>
  </si>
  <si>
    <t>05-004-235</t>
  </si>
  <si>
    <t>เครื่องสีข้าวหัวเดี่ยว EUROX สำหรับติดเครื่องยนต์ (ตัวเปล่า)</t>
  </si>
  <si>
    <t>05-004-280</t>
  </si>
  <si>
    <t>เครื่องแยกข้าว 2IN1 EUROX RMM02</t>
  </si>
  <si>
    <t>D22</t>
  </si>
  <si>
    <t>05-004-525</t>
  </si>
  <si>
    <t>เลื่อยโซ่ยนต์ EUROX 5200T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</si>
  <si>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</si>
  <si>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</si>
  <si>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</si>
  <si>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</si>
  <si>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</si>
  <si>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</si>
  <si>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06-500-149</t>
  </si>
  <si>
    <t>ปลอกกกเพลาตัดหญ้า 411</t>
  </si>
  <si>
    <t>06-501-110</t>
  </si>
  <si>
    <t>GX31 ชุดคันเร่ง</t>
  </si>
  <si>
    <t>06-501-322</t>
  </si>
  <si>
    <t>EU35 ชุดคันเร่ง</t>
  </si>
  <si>
    <t>06-502-400</t>
  </si>
  <si>
    <t>ท่อเก็บเสียงเลื่อยโซ่ (ใช้กับรุ่น 381)</t>
  </si>
  <si>
    <t>06-504-014</t>
  </si>
  <si>
    <t>พัดลมเป่าแกลบ</t>
  </si>
  <si>
    <t>06-504-030</t>
  </si>
  <si>
    <t>ถาดเเยกเมล็ด</t>
  </si>
  <si>
    <t>06-504-035</t>
  </si>
  <si>
    <t>ชุดตะแกรงโยก (ตะแกรงแยกข้าว)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</si>
  <si>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</si>
  <si>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</si>
  <si>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</si>
  <si>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</si>
  <si>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</si>
  <si>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</si>
  <si>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</si>
  <si>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</si>
  <si>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</si>
  <si>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</si>
  <si>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06-506-002</t>
  </si>
  <si>
    <t>อะไหล่เครื่องบด ร่องฟันบด</t>
  </si>
  <si>
    <t>06-508-129</t>
  </si>
  <si>
    <t>EU5200Z NO.129 สายน้ำมันพร้อมตัวกรอง</t>
  </si>
  <si>
    <t>06-510-090</t>
  </si>
  <si>
    <t>EU3800T NO.90 สายน้ำมันพร้อมตัวกรอง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</si>
  <si>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</si>
  <si>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</si>
  <si>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</si>
  <si>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</si>
  <si>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07-450-106</t>
  </si>
  <si>
    <t>แบตเตอรี่ถังพ่นยา 8Amp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</si>
  <si>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</si>
  <si>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</si>
  <si>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</si>
  <si>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</si>
  <si>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</si>
  <si>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</si>
  <si>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</si>
  <si>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</si>
  <si>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</si>
  <si>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</si>
  <si>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</si>
  <si>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</si>
  <si>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</si>
  <si>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</si>
  <si>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34-108-001</t>
  </si>
  <si>
    <t>เครื่องสับมัน EU8012 (พร้อมมอเตอร์)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</si>
  <si>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</si>
  <si>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</si>
  <si>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</si>
  <si>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</si>
  <si>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</si>
  <si>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</si>
  <si>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</si>
  <si>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</si>
  <si>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</si>
  <si>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</si>
  <si>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</si>
  <si>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</si>
  <si>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99-880-013</t>
  </si>
  <si>
    <t>สายชาร์จเครื่องพ่นยาแบตเตอรี่ (16/20 ลิตร)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</si>
  <si>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</si>
  <si>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</si>
  <si>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</si>
  <si>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</si>
  <si>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</si>
  <si>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</si>
  <si>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</si>
  <si>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</si>
  <si>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</si>
  <si>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</si>
  <si>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</si>
  <si>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RN-65022032</t>
  </si>
  <si>
    <t>C-00987 - อยุธยานานาภัณฑ์ จำกัด</t>
  </si>
  <si>
    <t>WP5</t>
  </si>
  <si>
    <t>ตัว</t>
  </si>
  <si>
    <t>สินค้าชำรุดสภาพดี AX</t>
  </si>
  <si>
    <t>Body น้ำมันรั่ว</t>
  </si>
  <si>
    <t>RN-65052066</t>
  </si>
  <si>
    <t>C-03817 - เจริญสุขโฮมพลัส(SM TT PC)</t>
  </si>
  <si>
    <t>แผงวงจรซ็อตไหม้</t>
  </si>
  <si>
    <t>ฝ่ายขายร้านค้า กทม.</t>
  </si>
  <si>
    <t>PE-65081005</t>
  </si>
  <si>
    <t>C-00630 - สมทรง ตลาดไท (S1)</t>
  </si>
  <si>
    <t>pcs.</t>
  </si>
  <si>
    <t>ชำรุดจากโรงงาน</t>
  </si>
  <si>
    <t>คันเร่งค้าง แข็ง</t>
  </si>
  <si>
    <t>PE-65021012</t>
  </si>
  <si>
    <t>C-00369 - พะเยานำไพศาล</t>
  </si>
  <si>
    <t>WP4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</si>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</sst>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1" sqref="AP5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352.0</v>
      </c>
      <c r="F3" s="5">
        <v>857719.948</v>
      </c>
      <c r="G3" s="4">
        <v>299.0</v>
      </c>
      <c r="H3" s="5">
        <v>777400.0</v>
      </c>
      <c r="I3" s="4">
        <v>300.0</v>
      </c>
      <c r="J3" s="5">
        <v>720000.0</v>
      </c>
      <c r="K3" s="4">
        <v>248.727264</v>
      </c>
      <c r="L3" s="5">
        <v>596945.4336</v>
      </c>
      <c r="M3" s="6">
        <v>-0.20211992522058</v>
      </c>
      <c r="N3" s="4">
        <v>171.0</v>
      </c>
      <c r="O3" s="4">
        <v>15.545454</v>
      </c>
      <c r="P3" s="4">
        <v>293.0</v>
      </c>
      <c r="Q3" s="4">
        <v>29.3</v>
      </c>
      <c r="R3" s="4">
        <v>140.0</v>
      </c>
      <c r="S3" s="5">
        <v>336000.0</v>
      </c>
      <c r="T3" s="4">
        <v>25.416666</v>
      </c>
      <c r="U3" s="7">
        <v>5.5081968657888</v>
      </c>
      <c r="V3" s="5">
        <v>414112.251</v>
      </c>
      <c r="W3" s="5">
        <v>2421.7090701754</v>
      </c>
      <c r="X3" s="5">
        <v>527104.698</v>
      </c>
      <c r="Y3" s="5">
        <v>3082.4836140351</v>
      </c>
      <c r="Z3" s="5">
        <v>112992.447</v>
      </c>
      <c r="AA3" s="5">
        <v>660.77454385965</v>
      </c>
      <c r="AB3" s="8">
        <v>0.21436433298494</v>
      </c>
      <c r="AC3" s="4">
        <v>171.0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293.0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31.0</v>
      </c>
      <c r="F4" s="5">
        <v>62000.0</v>
      </c>
      <c r="G4" s="4">
        <v>58.0</v>
      </c>
      <c r="H4" s="5">
        <v>126440.0</v>
      </c>
      <c r="I4" s="9">
        <v>0</v>
      </c>
      <c r="J4" s="9">
        <v>0</v>
      </c>
      <c r="K4" s="4">
        <v>986.181808</v>
      </c>
      <c r="L4" s="5">
        <v>2140014.52336</v>
      </c>
      <c r="M4" s="10">
        <v>0.94118731502701</v>
      </c>
      <c r="N4" s="4">
        <v>683.0</v>
      </c>
      <c r="O4" s="4">
        <v>61.636363</v>
      </c>
      <c r="P4" s="4">
        <v>94.0</v>
      </c>
      <c r="Q4" s="4">
        <v>9.5</v>
      </c>
      <c r="R4" s="4">
        <v>49.0</v>
      </c>
      <c r="S4" s="5">
        <v>106330.0</v>
      </c>
      <c r="T4" s="4">
        <v>11.666666</v>
      </c>
      <c r="U4" s="7">
        <v>4.20000024</v>
      </c>
      <c r="V4" s="5">
        <v>1385691.368</v>
      </c>
      <c r="W4" s="5">
        <v>2028.8306998536</v>
      </c>
      <c r="X4" s="5">
        <v>1809046.732</v>
      </c>
      <c r="Y4" s="5">
        <v>2648.6774992679</v>
      </c>
      <c r="Z4" s="5">
        <v>423355.364</v>
      </c>
      <c r="AA4" s="5">
        <v>619.84679941435</v>
      </c>
      <c r="AB4" s="8">
        <v>0.23402124252034</v>
      </c>
      <c r="AC4" s="4">
        <v>683.0</v>
      </c>
      <c r="AD4" s="4">
        <v>2.0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94.0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200.0</v>
      </c>
      <c r="F5" s="5">
        <v>60000.0</v>
      </c>
      <c r="G5" s="4">
        <v>300.0</v>
      </c>
      <c r="H5" s="5">
        <v>90000.0</v>
      </c>
      <c r="I5" s="9">
        <v>0</v>
      </c>
      <c r="J5" s="9">
        <v>0</v>
      </c>
      <c r="K5" s="4">
        <v>555.636352</v>
      </c>
      <c r="L5" s="5">
        <v>166690.9056</v>
      </c>
      <c r="M5" s="10">
        <v>0.46007852272416</v>
      </c>
      <c r="N5" s="4">
        <v>384.0</v>
      </c>
      <c r="O5" s="4">
        <v>34.727272</v>
      </c>
      <c r="P5" s="4">
        <v>151.0</v>
      </c>
      <c r="Q5" s="4">
        <v>14.9</v>
      </c>
      <c r="R5" s="4">
        <v>25.0</v>
      </c>
      <c r="S5" s="5">
        <v>7500.0</v>
      </c>
      <c r="T5" s="4">
        <v>13.583333</v>
      </c>
      <c r="U5" s="11">
        <v>1.8404908427114</v>
      </c>
      <c r="V5" s="5">
        <v>107663.644</v>
      </c>
      <c r="W5" s="5">
        <v>280.37407291667</v>
      </c>
      <c r="X5" s="5">
        <v>165686.887</v>
      </c>
      <c r="Y5" s="5">
        <v>431.47626822917</v>
      </c>
      <c r="Z5" s="5">
        <v>58023.243</v>
      </c>
      <c r="AA5" s="5">
        <v>151.1021953125</v>
      </c>
      <c r="AB5" s="12">
        <v>0.35019816022013</v>
      </c>
      <c r="AC5" s="4">
        <v>384.0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151.0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4">
        <v>90.0</v>
      </c>
      <c r="F6" s="5">
        <v>27000.0</v>
      </c>
      <c r="G6" s="4">
        <v>179.0</v>
      </c>
      <c r="H6" s="5">
        <v>53700.0</v>
      </c>
      <c r="I6" s="9">
        <v>0</v>
      </c>
      <c r="J6" s="9">
        <v>0</v>
      </c>
      <c r="K6" s="4">
        <v>171.636352</v>
      </c>
      <c r="L6" s="5">
        <v>51490.9056</v>
      </c>
      <c r="M6" s="6">
        <v>-0.042902613078143</v>
      </c>
      <c r="N6" s="4">
        <v>115.0</v>
      </c>
      <c r="O6" s="4">
        <v>10.727272</v>
      </c>
      <c r="P6" s="4">
        <v>10.0</v>
      </c>
      <c r="Q6" s="4">
        <v>1.6</v>
      </c>
      <c r="R6" s="4">
        <v>128.0</v>
      </c>
      <c r="S6" s="5">
        <v>38400.0</v>
      </c>
      <c r="T6" s="4">
        <v>0.583333</v>
      </c>
      <c r="U6" s="13">
        <v>219.4286968164</v>
      </c>
      <c r="V6" s="5">
        <v>32242.991</v>
      </c>
      <c r="W6" s="5">
        <v>280.37383478261</v>
      </c>
      <c r="X6" s="5">
        <v>46580.378</v>
      </c>
      <c r="Y6" s="5">
        <v>405.04676521739</v>
      </c>
      <c r="Z6" s="5">
        <v>14337.387</v>
      </c>
      <c r="AA6" s="5">
        <v>124.67293043478</v>
      </c>
      <c r="AB6" s="12">
        <v>0.3077988547023</v>
      </c>
      <c r="AC6" s="4">
        <v>115.0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50</v>
      </c>
      <c r="E7" s="9">
        <v>0</v>
      </c>
      <c r="F7" s="9">
        <v>0</v>
      </c>
      <c r="G7" s="4">
        <v>20.0</v>
      </c>
      <c r="H7" s="5">
        <v>5350.0</v>
      </c>
      <c r="I7" s="4">
        <v>80.0</v>
      </c>
      <c r="J7" s="5">
        <v>11200.0</v>
      </c>
      <c r="K7" s="9">
        <v>0</v>
      </c>
      <c r="L7" s="9">
        <v>0</v>
      </c>
      <c r="M7" s="14">
        <v>0</v>
      </c>
      <c r="N7" s="9">
        <v>0</v>
      </c>
      <c r="O7" s="9">
        <v>0</v>
      </c>
      <c r="P7" s="4">
        <v>13.0</v>
      </c>
      <c r="Q7" s="4">
        <v>1.3</v>
      </c>
      <c r="R7" s="4">
        <v>70.0</v>
      </c>
      <c r="S7" s="5">
        <v>9800.0</v>
      </c>
      <c r="T7" s="4">
        <v>1.083333</v>
      </c>
      <c r="U7" s="13">
        <v>64.615404497048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4">
        <v>1.0</v>
      </c>
      <c r="AF7" s="9">
        <v>0</v>
      </c>
      <c r="AG7" s="3">
        <v>0</v>
      </c>
      <c r="AH7" s="9">
        <v>0</v>
      </c>
      <c r="AI7" s="9">
        <v>0</v>
      </c>
      <c r="AJ7" s="4">
        <v>13.0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50</v>
      </c>
      <c r="E8" s="9">
        <v>0</v>
      </c>
      <c r="F8" s="9">
        <v>0</v>
      </c>
      <c r="G8" s="4">
        <v>30.0</v>
      </c>
      <c r="H8" s="5">
        <v>3852.0</v>
      </c>
      <c r="I8" s="9">
        <v>0</v>
      </c>
      <c r="J8" s="9">
        <v>0</v>
      </c>
      <c r="K8" s="4">
        <v>1.454544</v>
      </c>
      <c r="L8" s="5">
        <v>186.76345</v>
      </c>
      <c r="M8" s="6">
        <v>-19.625020625021</v>
      </c>
      <c r="N8" s="4">
        <v>1.0</v>
      </c>
      <c r="O8" s="4">
        <v>0.090909</v>
      </c>
      <c r="P8" s="4">
        <v>5.0</v>
      </c>
      <c r="Q8" s="4">
        <v>0.5</v>
      </c>
      <c r="R8" s="9">
        <v>0</v>
      </c>
      <c r="S8" s="9">
        <v>0</v>
      </c>
      <c r="T8" s="4">
        <v>0.5</v>
      </c>
      <c r="U8" s="15" t="s">
        <v>57</v>
      </c>
      <c r="V8" s="5">
        <v>120.0</v>
      </c>
      <c r="W8" s="5">
        <v>120.0</v>
      </c>
      <c r="X8" s="5">
        <v>327.1</v>
      </c>
      <c r="Y8" s="5">
        <v>327.1</v>
      </c>
      <c r="Z8" s="5">
        <v>207.1</v>
      </c>
      <c r="AA8" s="5">
        <v>207.1</v>
      </c>
      <c r="AB8" s="12">
        <v>0.63313971262611</v>
      </c>
      <c r="AC8" s="4">
        <v>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9">
        <v>0</v>
      </c>
      <c r="F9" s="9">
        <v>0</v>
      </c>
      <c r="G9" s="4">
        <v>20.0</v>
      </c>
      <c r="H9" s="5">
        <v>556.4</v>
      </c>
      <c r="I9" s="9">
        <v>0</v>
      </c>
      <c r="J9" s="9">
        <v>0</v>
      </c>
      <c r="K9" s="9">
        <v>0</v>
      </c>
      <c r="L9" s="9">
        <v>0</v>
      </c>
      <c r="M9" s="14">
        <v>0</v>
      </c>
      <c r="N9" s="9">
        <v>0</v>
      </c>
      <c r="O9" s="9">
        <v>0</v>
      </c>
      <c r="P9" s="4">
        <v>3.0</v>
      </c>
      <c r="Q9" s="4">
        <v>0.3</v>
      </c>
      <c r="R9" s="9">
        <v>0</v>
      </c>
      <c r="S9" s="9">
        <v>0</v>
      </c>
      <c r="T9" s="4">
        <v>0.25</v>
      </c>
      <c r="U9" s="15" t="s">
        <v>57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62</v>
      </c>
      <c r="E10" s="4">
        <v>50.0</v>
      </c>
      <c r="F10" s="5">
        <v>450000.0</v>
      </c>
      <c r="G10" s="9">
        <v>0</v>
      </c>
      <c r="H10" s="9">
        <v>0</v>
      </c>
      <c r="I10" s="9">
        <v>0</v>
      </c>
      <c r="J10" s="9">
        <v>0</v>
      </c>
      <c r="K10" s="4">
        <v>2.909088</v>
      </c>
      <c r="L10" s="5">
        <v>26181.792</v>
      </c>
      <c r="M10" s="10">
        <v>1.0</v>
      </c>
      <c r="N10" s="4">
        <v>1.0</v>
      </c>
      <c r="O10" s="4">
        <v>0.181818</v>
      </c>
      <c r="P10" s="4">
        <v>-1.0</v>
      </c>
      <c r="Q10" s="9">
        <v>0</v>
      </c>
      <c r="R10" s="4">
        <v>1.0</v>
      </c>
      <c r="S10" s="5">
        <v>9000.0</v>
      </c>
      <c r="T10" s="4">
        <v>-0.083333</v>
      </c>
      <c r="U10" s="15" t="s">
        <v>57</v>
      </c>
      <c r="V10" s="5">
        <v>8831.78</v>
      </c>
      <c r="W10" s="5">
        <v>8831.78</v>
      </c>
      <c r="X10" s="5">
        <v>11121.495</v>
      </c>
      <c r="Y10" s="5">
        <v>11121.495</v>
      </c>
      <c r="Z10" s="5">
        <v>2289.715</v>
      </c>
      <c r="AA10" s="5">
        <v>2289.715</v>
      </c>
      <c r="AB10" s="8">
        <v>0.20588194303014</v>
      </c>
      <c r="AC10" s="4">
        <v>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-1.0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62</v>
      </c>
      <c r="E11" s="4">
        <v>159.0</v>
      </c>
      <c r="F11" s="5">
        <v>1046200.0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4">
        <v>0</v>
      </c>
      <c r="N11" s="4">
        <v>-1.0</v>
      </c>
      <c r="O11" s="9">
        <v>0</v>
      </c>
      <c r="P11" s="9">
        <v>0</v>
      </c>
      <c r="Q11" s="9">
        <v>0</v>
      </c>
      <c r="R11" s="4">
        <v>1.0</v>
      </c>
      <c r="S11" s="5">
        <v>6900.0</v>
      </c>
      <c r="T11" s="9">
        <v>0</v>
      </c>
      <c r="U11" s="15" t="s">
        <v>57</v>
      </c>
      <c r="V11" s="5">
        <v>-6448.6</v>
      </c>
      <c r="W11" s="9">
        <v>0</v>
      </c>
      <c r="X11" s="5">
        <v>-17570.093</v>
      </c>
      <c r="Y11" s="9">
        <v>0</v>
      </c>
      <c r="Z11" s="5">
        <v>-11121.493</v>
      </c>
      <c r="AA11" s="9">
        <v>0</v>
      </c>
      <c r="AB11" s="16">
        <v>0</v>
      </c>
      <c r="AC11" s="4">
        <v>-1.0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62</v>
      </c>
      <c r="E12" s="4">
        <v>50.0</v>
      </c>
      <c r="F12" s="5">
        <v>190000.0</v>
      </c>
      <c r="G12" s="9">
        <v>0</v>
      </c>
      <c r="H12" s="9">
        <v>0</v>
      </c>
      <c r="I12" s="9">
        <v>0</v>
      </c>
      <c r="J12" s="9">
        <v>0</v>
      </c>
      <c r="K12" s="4">
        <v>18.909088</v>
      </c>
      <c r="L12" s="9">
        <v>0</v>
      </c>
      <c r="M12" s="10">
        <v>1.0</v>
      </c>
      <c r="N12" s="4">
        <v>13.0</v>
      </c>
      <c r="O12" s="4">
        <v>1.181818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5" t="s">
        <v>57</v>
      </c>
      <c r="V12" s="5">
        <v>46168.229</v>
      </c>
      <c r="W12" s="5">
        <v>3551.4022307692</v>
      </c>
      <c r="X12" s="5">
        <v>70560.746</v>
      </c>
      <c r="Y12" s="5">
        <v>5427.7496923077</v>
      </c>
      <c r="Z12" s="5">
        <v>24392.517</v>
      </c>
      <c r="AA12" s="5">
        <v>1876.3474615385</v>
      </c>
      <c r="AB12" s="12">
        <v>0.3456952821899</v>
      </c>
      <c r="AC12" s="4">
        <v>13.0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69</v>
      </c>
      <c r="E13" s="4">
        <v>60.0</v>
      </c>
      <c r="F13" s="5">
        <v>315920.0</v>
      </c>
      <c r="G13" s="9">
        <v>0</v>
      </c>
      <c r="H13" s="9">
        <v>0</v>
      </c>
      <c r="I13" s="9">
        <v>0</v>
      </c>
      <c r="J13" s="9">
        <v>0</v>
      </c>
      <c r="K13" s="4">
        <v>5.818176</v>
      </c>
      <c r="L13" s="5">
        <v>29090.88</v>
      </c>
      <c r="M13" s="10">
        <v>1.0</v>
      </c>
      <c r="N13" s="4">
        <v>3.0</v>
      </c>
      <c r="O13" s="4">
        <v>0.363636</v>
      </c>
      <c r="P13" s="9">
        <v>0</v>
      </c>
      <c r="Q13" s="9">
        <v>0</v>
      </c>
      <c r="R13" s="4">
        <v>38.0</v>
      </c>
      <c r="S13" s="5">
        <v>190000.0</v>
      </c>
      <c r="T13" s="4">
        <v>0.083333</v>
      </c>
      <c r="U13" s="13">
        <v>456.0018240073</v>
      </c>
      <c r="V13" s="5">
        <v>14018.69</v>
      </c>
      <c r="W13" s="5">
        <v>4672.8966666667</v>
      </c>
      <c r="X13" s="5">
        <v>11717.632</v>
      </c>
      <c r="Y13" s="5">
        <v>3905.8773333333</v>
      </c>
      <c r="Z13" s="5">
        <v>-2301.058</v>
      </c>
      <c r="AA13" s="5">
        <v>-767.01933333333</v>
      </c>
      <c r="AB13" s="17">
        <v>-0.19637568409726</v>
      </c>
      <c r="AC13" s="4">
        <v>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70</v>
      </c>
      <c r="C14" t="s">
        <v>71</v>
      </c>
      <c r="D14" s="3" t="s">
        <v>69</v>
      </c>
      <c r="E14" s="4">
        <v>58.0</v>
      </c>
      <c r="F14" s="5">
        <v>110199.942</v>
      </c>
      <c r="G14" s="9">
        <v>0</v>
      </c>
      <c r="H14" s="9">
        <v>0</v>
      </c>
      <c r="I14" s="9">
        <v>0</v>
      </c>
      <c r="J14" s="9">
        <v>0</v>
      </c>
      <c r="K14" s="4">
        <v>11.636352</v>
      </c>
      <c r="L14" s="5">
        <v>19838.583798</v>
      </c>
      <c r="M14" s="10">
        <v>1.0</v>
      </c>
      <c r="N14" s="4">
        <v>8.0</v>
      </c>
      <c r="O14" s="4">
        <v>0.727272</v>
      </c>
      <c r="P14" s="4">
        <v>3.0</v>
      </c>
      <c r="Q14" s="4">
        <v>0.5</v>
      </c>
      <c r="R14" s="9">
        <v>0</v>
      </c>
      <c r="S14" s="9">
        <v>0</v>
      </c>
      <c r="T14" s="4">
        <v>0.416666</v>
      </c>
      <c r="U14" s="15" t="s">
        <v>57</v>
      </c>
      <c r="V14" s="5">
        <v>13130.35</v>
      </c>
      <c r="W14" s="5">
        <v>1641.29375</v>
      </c>
      <c r="X14" s="5">
        <v>16962.622</v>
      </c>
      <c r="Y14" s="5">
        <v>2120.32775</v>
      </c>
      <c r="Z14" s="5">
        <v>3832.272</v>
      </c>
      <c r="AA14" s="5">
        <v>479.034</v>
      </c>
      <c r="AB14" s="8">
        <v>0.22592450624673</v>
      </c>
      <c r="AC14" s="4">
        <v>8.0</v>
      </c>
      <c r="AD14" s="4">
        <v>1.0</v>
      </c>
      <c r="AE14" s="5">
        <v>1.0</v>
      </c>
      <c r="AF14" s="9">
        <v>1704.88</v>
      </c>
      <c r="AG14" s="18">
        <v>0.125</v>
      </c>
      <c r="AH14" s="9">
        <v>0</v>
      </c>
      <c r="AI14" s="9">
        <v>0</v>
      </c>
      <c r="AJ14" s="4">
        <v>3.0</v>
      </c>
      <c r="AK14" s="9">
        <v>0</v>
      </c>
      <c r="AL14" s="4">
        <v>1.0</v>
      </c>
      <c r="AM14" s="5">
        <v>1704.88</v>
      </c>
      <c r="AN14" s="18">
        <v>0.33333333333333</v>
      </c>
      <c r="AO14" s="9">
        <v>0</v>
      </c>
      <c r="AP14" s="9">
        <v>0</v>
      </c>
    </row>
    <row r="15" spans="1:42">
      <c r="A15" s="3">
        <v>13</v>
      </c>
      <c r="B15" s="3" t="s">
        <v>72</v>
      </c>
      <c r="C15" t="s">
        <v>73</v>
      </c>
      <c r="D15" s="3" t="s">
        <v>50</v>
      </c>
      <c r="E15" s="9">
        <v>0</v>
      </c>
      <c r="F15" s="9">
        <v>0</v>
      </c>
      <c r="G15" s="9">
        <v>0</v>
      </c>
      <c r="H15" s="9">
        <v>0</v>
      </c>
      <c r="I15" s="4">
        <v>1000.0</v>
      </c>
      <c r="J15" s="5">
        <v>570000.0</v>
      </c>
      <c r="K15" s="4">
        <v>1.454544</v>
      </c>
      <c r="L15" s="5">
        <v>829.09008</v>
      </c>
      <c r="M15" s="10">
        <v>1.0</v>
      </c>
      <c r="N15" s="4">
        <v>-2.0</v>
      </c>
      <c r="O15" s="4">
        <v>0.090909</v>
      </c>
      <c r="P15" s="4">
        <v>800.0</v>
      </c>
      <c r="Q15" s="4">
        <v>80.0</v>
      </c>
      <c r="R15" s="4">
        <v>198.0</v>
      </c>
      <c r="S15" s="5">
        <v>112860.0</v>
      </c>
      <c r="T15" s="4">
        <v>66.666666</v>
      </c>
      <c r="U15" s="11">
        <v>2.9700000297</v>
      </c>
      <c r="V15" s="5">
        <v>-1177.56</v>
      </c>
      <c r="W15" s="9">
        <v>0</v>
      </c>
      <c r="X15" s="5">
        <v>-1635.515</v>
      </c>
      <c r="Y15" s="9">
        <v>0</v>
      </c>
      <c r="Z15" s="5">
        <v>-457.955</v>
      </c>
      <c r="AA15" s="9">
        <v>0</v>
      </c>
      <c r="AB15" s="16">
        <v>0</v>
      </c>
      <c r="AC15" s="4">
        <v>-2.0</v>
      </c>
      <c r="AD15" s="9">
        <v>0</v>
      </c>
      <c r="AE15" s="4">
        <v>1.0</v>
      </c>
      <c r="AF15" s="9">
        <v>0</v>
      </c>
      <c r="AG15" s="3">
        <v>0</v>
      </c>
      <c r="AH15" s="9">
        <v>0</v>
      </c>
      <c r="AI15" s="9">
        <v>0</v>
      </c>
      <c r="AJ15" s="4">
        <v>800.0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74</v>
      </c>
      <c r="C16" t="s">
        <v>75</v>
      </c>
      <c r="D16" s="3" t="s">
        <v>50</v>
      </c>
      <c r="E16" s="9">
        <v>0</v>
      </c>
      <c r="F16" s="9">
        <v>0</v>
      </c>
      <c r="G16" s="9">
        <v>0</v>
      </c>
      <c r="H16" s="9">
        <v>0</v>
      </c>
      <c r="I16" s="4">
        <v>720.0</v>
      </c>
      <c r="J16" s="5">
        <v>424800.0</v>
      </c>
      <c r="K16" s="9">
        <v>0</v>
      </c>
      <c r="L16" s="9">
        <v>0</v>
      </c>
      <c r="M16" s="14">
        <v>0</v>
      </c>
      <c r="N16" s="4">
        <v>-2.0</v>
      </c>
      <c r="O16" s="9">
        <v>0</v>
      </c>
      <c r="P16" s="4">
        <v>574.0</v>
      </c>
      <c r="Q16" s="4">
        <v>57.4</v>
      </c>
      <c r="R16" s="4">
        <v>148.0</v>
      </c>
      <c r="S16" s="5">
        <v>87320.0</v>
      </c>
      <c r="T16" s="4">
        <v>47.833333</v>
      </c>
      <c r="U16" s="11">
        <v>3.0940766766138</v>
      </c>
      <c r="V16" s="5">
        <v>-1214.96</v>
      </c>
      <c r="W16" s="9">
        <v>0</v>
      </c>
      <c r="X16" s="5">
        <v>-2607.48</v>
      </c>
      <c r="Y16" s="9">
        <v>0</v>
      </c>
      <c r="Z16" s="5">
        <v>-1392.52</v>
      </c>
      <c r="AA16" s="9">
        <v>0</v>
      </c>
      <c r="AB16" s="16">
        <v>0</v>
      </c>
      <c r="AC16" s="4">
        <v>-2.0</v>
      </c>
      <c r="AD16" s="4">
        <v>1.0</v>
      </c>
      <c r="AE16" s="4">
        <v>1.0</v>
      </c>
      <c r="AF16" s="9">
        <v>0</v>
      </c>
      <c r="AG16" s="3">
        <v>0</v>
      </c>
      <c r="AH16" s="9">
        <v>0</v>
      </c>
      <c r="AI16" s="9">
        <v>0</v>
      </c>
      <c r="AJ16" s="4">
        <v>574.0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76</v>
      </c>
      <c r="C17" t="s">
        <v>77</v>
      </c>
      <c r="D17" s="3" t="s">
        <v>69</v>
      </c>
      <c r="E17" s="9">
        <v>0</v>
      </c>
      <c r="F17" s="9">
        <v>0</v>
      </c>
      <c r="G17" s="9">
        <v>0</v>
      </c>
      <c r="H17" s="9">
        <v>0</v>
      </c>
      <c r="I17" s="4">
        <v>250.0</v>
      </c>
      <c r="J17" s="5">
        <v>37500.0</v>
      </c>
      <c r="K17" s="4">
        <v>1099.636352</v>
      </c>
      <c r="L17" s="5">
        <v>164945.4528</v>
      </c>
      <c r="M17" s="10">
        <v>1.0</v>
      </c>
      <c r="N17" s="4">
        <v>756.0</v>
      </c>
      <c r="O17" s="4">
        <v>68.727272</v>
      </c>
      <c r="P17" s="4">
        <v>181.0</v>
      </c>
      <c r="Q17" s="4">
        <v>18.0</v>
      </c>
      <c r="R17" s="4">
        <v>69.0</v>
      </c>
      <c r="S17" s="5">
        <v>10350.0</v>
      </c>
      <c r="T17" s="4">
        <v>15.083333</v>
      </c>
      <c r="U17" s="7">
        <v>4.5745857364549</v>
      </c>
      <c r="V17" s="5">
        <v>119835.117</v>
      </c>
      <c r="W17" s="5">
        <v>158.51205952381</v>
      </c>
      <c r="X17" s="5">
        <v>120084.442</v>
      </c>
      <c r="Y17" s="5">
        <v>158.84185449735</v>
      </c>
      <c r="Z17" s="5">
        <v>249.325</v>
      </c>
      <c r="AA17" s="5">
        <v>0.32979497354497</v>
      </c>
      <c r="AB17" s="8">
        <v>0.0020762473127035</v>
      </c>
      <c r="AC17" s="4">
        <v>756.0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181.0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50</v>
      </c>
      <c r="E18" s="9">
        <v>0</v>
      </c>
      <c r="F18" s="9">
        <v>0</v>
      </c>
      <c r="G18" s="9">
        <v>0</v>
      </c>
      <c r="H18" s="9">
        <v>0</v>
      </c>
      <c r="I18" s="4">
        <v>30.0</v>
      </c>
      <c r="J18" s="5">
        <v>810.0</v>
      </c>
      <c r="K18" s="9">
        <v>0</v>
      </c>
      <c r="L18" s="9">
        <v>0</v>
      </c>
      <c r="M18" s="14">
        <v>0</v>
      </c>
      <c r="N18" s="9">
        <v>0</v>
      </c>
      <c r="O18" s="9">
        <v>0</v>
      </c>
      <c r="P18" s="9">
        <v>0</v>
      </c>
      <c r="Q18" s="9">
        <v>0</v>
      </c>
      <c r="R18" s="4">
        <v>30.0</v>
      </c>
      <c r="S18" s="5">
        <v>810.0</v>
      </c>
      <c r="T18" s="9">
        <v>0</v>
      </c>
      <c r="U18" s="15" t="s">
        <v>57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80</v>
      </c>
      <c r="C19" t="s">
        <v>81</v>
      </c>
      <c r="D19" s="3" t="s">
        <v>50</v>
      </c>
      <c r="E19" s="4">
        <v>10.0</v>
      </c>
      <c r="F19" s="5">
        <v>1605.0</v>
      </c>
      <c r="G19" s="9">
        <v>0</v>
      </c>
      <c r="H19" s="9">
        <v>0</v>
      </c>
      <c r="I19" s="9">
        <v>0</v>
      </c>
      <c r="J19" s="9">
        <v>0</v>
      </c>
      <c r="K19" s="4">
        <v>13.090896</v>
      </c>
      <c r="L19" s="5">
        <v>2101.088808</v>
      </c>
      <c r="M19" s="10">
        <v>1.0</v>
      </c>
      <c r="N19" s="4">
        <v>7.0</v>
      </c>
      <c r="O19" s="4">
        <v>0.818181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5" t="s">
        <v>57</v>
      </c>
      <c r="V19" s="5">
        <v>1050.0</v>
      </c>
      <c r="W19" s="5">
        <v>150.0</v>
      </c>
      <c r="X19" s="5">
        <v>1439.249</v>
      </c>
      <c r="Y19" s="5">
        <v>205.607</v>
      </c>
      <c r="Z19" s="5">
        <v>389.249</v>
      </c>
      <c r="AA19" s="5">
        <v>55.607</v>
      </c>
      <c r="AB19" s="12">
        <v>0.27045285423162</v>
      </c>
      <c r="AC19" s="4">
        <v>7.0</v>
      </c>
      <c r="AD19" s="4">
        <v>1.0</v>
      </c>
      <c r="AE19" s="4">
        <v>1.0</v>
      </c>
      <c r="AF19" s="9">
        <v>0</v>
      </c>
      <c r="AG19" s="18">
        <v>0.14285714285714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82</v>
      </c>
      <c r="C20" t="s">
        <v>83</v>
      </c>
      <c r="D20" s="3" t="s">
        <v>50</v>
      </c>
      <c r="E20" s="9">
        <v>0</v>
      </c>
      <c r="F20" s="9">
        <v>0</v>
      </c>
      <c r="G20" s="9">
        <v>0</v>
      </c>
      <c r="H20" s="9">
        <v>0</v>
      </c>
      <c r="I20" s="4">
        <v>20.0</v>
      </c>
      <c r="J20" s="5">
        <v>3200.0</v>
      </c>
      <c r="K20" s="4">
        <v>7.27272</v>
      </c>
      <c r="L20" s="5">
        <v>1163.6352</v>
      </c>
      <c r="M20" s="10">
        <v>1.0</v>
      </c>
      <c r="N20" s="4">
        <v>5.0</v>
      </c>
      <c r="O20" s="4">
        <v>0.454545</v>
      </c>
      <c r="P20" s="4">
        <v>2.0</v>
      </c>
      <c r="Q20" s="4">
        <v>0.2</v>
      </c>
      <c r="R20" s="4">
        <v>19.0</v>
      </c>
      <c r="S20" s="5">
        <v>3040.0</v>
      </c>
      <c r="T20" s="4">
        <v>0.166666</v>
      </c>
      <c r="U20" s="13">
        <v>114.00045600182</v>
      </c>
      <c r="V20" s="9">
        <v>0</v>
      </c>
      <c r="W20" s="5">
        <v>0.0</v>
      </c>
      <c r="X20" s="5">
        <v>700.935</v>
      </c>
      <c r="Y20" s="5">
        <v>140.187</v>
      </c>
      <c r="Z20" s="5">
        <v>700.935</v>
      </c>
      <c r="AA20" s="5">
        <v>140.187</v>
      </c>
      <c r="AB20" s="12">
        <v>1.0</v>
      </c>
      <c r="AC20" s="4">
        <v>5.0</v>
      </c>
      <c r="AD20" s="9">
        <v>0</v>
      </c>
      <c r="AE20" s="4">
        <v>1.0</v>
      </c>
      <c r="AF20" s="9">
        <v>0</v>
      </c>
      <c r="AG20" s="18">
        <v>0.2</v>
      </c>
      <c r="AH20" s="9">
        <v>0</v>
      </c>
      <c r="AI20" s="9">
        <v>0</v>
      </c>
      <c r="AJ20" s="4">
        <v>2.0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50</v>
      </c>
      <c r="E21" s="4">
        <v>30.0</v>
      </c>
      <c r="F21" s="5">
        <v>9000.0</v>
      </c>
      <c r="G21" s="9">
        <v>0</v>
      </c>
      <c r="H21" s="9">
        <v>0</v>
      </c>
      <c r="I21" s="9">
        <v>0</v>
      </c>
      <c r="J21" s="9">
        <v>0</v>
      </c>
      <c r="K21" s="4">
        <v>40.727264</v>
      </c>
      <c r="L21" s="5">
        <v>12218.1792</v>
      </c>
      <c r="M21" s="10">
        <v>1.0</v>
      </c>
      <c r="N21" s="4">
        <v>28.0</v>
      </c>
      <c r="O21" s="4">
        <v>2.545454</v>
      </c>
      <c r="P21" s="9">
        <v>0</v>
      </c>
      <c r="Q21" s="9">
        <v>0</v>
      </c>
      <c r="R21" s="4">
        <v>2.0</v>
      </c>
      <c r="S21" s="5">
        <v>600.0</v>
      </c>
      <c r="T21" s="9">
        <v>0</v>
      </c>
      <c r="U21" s="15" t="s">
        <v>57</v>
      </c>
      <c r="V21" s="5">
        <v>7850.472</v>
      </c>
      <c r="W21" s="5">
        <v>280.374</v>
      </c>
      <c r="X21" s="5">
        <v>9813.076</v>
      </c>
      <c r="Y21" s="5">
        <v>350.467</v>
      </c>
      <c r="Z21" s="5">
        <v>1962.604</v>
      </c>
      <c r="AA21" s="5">
        <v>70.093</v>
      </c>
      <c r="AB21" s="8">
        <v>0.19999885866572</v>
      </c>
      <c r="AC21" s="4">
        <v>28.0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50</v>
      </c>
      <c r="E22" s="4">
        <v>24.0</v>
      </c>
      <c r="F22" s="5">
        <v>23402.85</v>
      </c>
      <c r="G22" s="9">
        <v>0</v>
      </c>
      <c r="H22" s="9">
        <v>0</v>
      </c>
      <c r="I22" s="9">
        <v>0</v>
      </c>
      <c r="J22" s="9">
        <v>0</v>
      </c>
      <c r="K22" s="4">
        <v>1.454544</v>
      </c>
      <c r="L22" s="5">
        <v>1478.543976</v>
      </c>
      <c r="M22" s="10">
        <v>1.0</v>
      </c>
      <c r="N22" s="4">
        <v>1.0</v>
      </c>
      <c r="O22" s="4">
        <v>0.090909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5" t="s">
        <v>57</v>
      </c>
      <c r="V22" s="5">
        <v>950.0</v>
      </c>
      <c r="W22" s="5">
        <v>950.0</v>
      </c>
      <c r="X22" s="5">
        <v>588.785</v>
      </c>
      <c r="Y22" s="5">
        <v>588.785</v>
      </c>
      <c r="Z22" s="5">
        <v>-361.215</v>
      </c>
      <c r="AA22" s="5">
        <v>-361.215</v>
      </c>
      <c r="AB22" s="17">
        <v>-0.613492191547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50</v>
      </c>
      <c r="E23" s="4">
        <v>1.0</v>
      </c>
      <c r="F23" s="5">
        <v>350.0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4">
        <v>0</v>
      </c>
      <c r="N23" s="9">
        <v>0</v>
      </c>
      <c r="O23" s="9">
        <v>0</v>
      </c>
      <c r="P23" s="9">
        <v>0</v>
      </c>
      <c r="Q23" s="9">
        <v>0</v>
      </c>
      <c r="R23" s="4">
        <v>7.0</v>
      </c>
      <c r="S23" s="5">
        <v>2450.0</v>
      </c>
      <c r="T23" s="9">
        <v>0</v>
      </c>
      <c r="U23" s="15" t="s">
        <v>57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50</v>
      </c>
      <c r="E24" s="4">
        <v>1.0</v>
      </c>
      <c r="F24" s="5">
        <v>1800.0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5" t="s">
        <v>57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50</v>
      </c>
      <c r="E25" s="9">
        <v>0</v>
      </c>
      <c r="F25" s="9">
        <v>0</v>
      </c>
      <c r="G25" s="9">
        <v>0</v>
      </c>
      <c r="H25" s="9">
        <v>0</v>
      </c>
      <c r="I25" s="4">
        <v>2.0</v>
      </c>
      <c r="J25" s="5">
        <v>2247.0</v>
      </c>
      <c r="K25" s="4">
        <v>1.454544</v>
      </c>
      <c r="L25" s="5">
        <v>1634.180184</v>
      </c>
      <c r="M25" s="10">
        <v>1.0</v>
      </c>
      <c r="N25" s="9">
        <v>0</v>
      </c>
      <c r="O25" s="4">
        <v>0.090909</v>
      </c>
      <c r="P25" s="4">
        <v>2.0</v>
      </c>
      <c r="Q25" s="4">
        <v>0.2</v>
      </c>
      <c r="R25" s="4">
        <v>11.0</v>
      </c>
      <c r="S25" s="5">
        <v>12358.5</v>
      </c>
      <c r="T25" s="4">
        <v>0.166666</v>
      </c>
      <c r="U25" s="13">
        <v>66.000264001056</v>
      </c>
      <c r="V25" s="5">
        <v>11.54</v>
      </c>
      <c r="W25" s="9">
        <v>0</v>
      </c>
      <c r="X25" s="9">
        <v>0</v>
      </c>
      <c r="Y25" s="9">
        <v>0</v>
      </c>
      <c r="Z25" s="5">
        <v>-11.54</v>
      </c>
      <c r="AA25" s="9">
        <v>0</v>
      </c>
      <c r="AB25" s="16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2.0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50</v>
      </c>
      <c r="E26" s="4">
        <v>400.0</v>
      </c>
      <c r="F26" s="5">
        <v>51360.0</v>
      </c>
      <c r="G26" s="9">
        <v>0</v>
      </c>
      <c r="H26" s="9">
        <v>0</v>
      </c>
      <c r="I26" s="9">
        <v>0</v>
      </c>
      <c r="J26" s="9">
        <v>0</v>
      </c>
      <c r="K26" s="4">
        <v>10.181808</v>
      </c>
      <c r="L26" s="5">
        <v>1307.344147</v>
      </c>
      <c r="M26" s="10">
        <v>1.0</v>
      </c>
      <c r="N26" s="4">
        <v>7.0</v>
      </c>
      <c r="O26" s="4">
        <v>0.636363</v>
      </c>
      <c r="P26" s="9">
        <v>0</v>
      </c>
      <c r="Q26" s="4">
        <v>0.1</v>
      </c>
      <c r="R26" s="4">
        <v>8.0</v>
      </c>
      <c r="S26" s="5">
        <v>1027.2</v>
      </c>
      <c r="T26" s="9">
        <v>0</v>
      </c>
      <c r="U26" s="15" t="s">
        <v>57</v>
      </c>
      <c r="V26" s="5">
        <v>840.0</v>
      </c>
      <c r="W26" s="5">
        <v>120.0</v>
      </c>
      <c r="X26" s="5">
        <v>2383.179</v>
      </c>
      <c r="Y26" s="5">
        <v>340.45414285714</v>
      </c>
      <c r="Z26" s="5">
        <v>1543.179</v>
      </c>
      <c r="AA26" s="5">
        <v>220.45414285714</v>
      </c>
      <c r="AB26" s="12">
        <v>0.64752962324693</v>
      </c>
      <c r="AC26" s="4">
        <v>7.0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50</v>
      </c>
      <c r="E27" s="4">
        <v>100.0</v>
      </c>
      <c r="F27" s="5">
        <v>42000.0</v>
      </c>
      <c r="G27" s="9">
        <v>0</v>
      </c>
      <c r="H27" s="9">
        <v>0</v>
      </c>
      <c r="I27" s="9">
        <v>0</v>
      </c>
      <c r="J27" s="9">
        <v>0</v>
      </c>
      <c r="K27" s="4">
        <v>16.0</v>
      </c>
      <c r="L27" s="5">
        <v>6720.0</v>
      </c>
      <c r="M27" s="10">
        <v>1.0</v>
      </c>
      <c r="N27" s="4">
        <v>11.0</v>
      </c>
      <c r="O27" s="4">
        <v>1.0</v>
      </c>
      <c r="P27" s="4">
        <v>4.0</v>
      </c>
      <c r="Q27" s="4">
        <v>0.4</v>
      </c>
      <c r="R27" s="4">
        <v>19.0</v>
      </c>
      <c r="S27" s="5">
        <v>7980.0</v>
      </c>
      <c r="T27" s="4">
        <v>0.333333</v>
      </c>
      <c r="U27" s="13">
        <v>57.000057000057</v>
      </c>
      <c r="V27" s="5">
        <v>4317.75</v>
      </c>
      <c r="W27" s="5">
        <v>392.52272727273</v>
      </c>
      <c r="X27" s="5">
        <v>5481.312</v>
      </c>
      <c r="Y27" s="5">
        <v>498.30109090909</v>
      </c>
      <c r="Z27" s="5">
        <v>1163.562</v>
      </c>
      <c r="AA27" s="5">
        <v>105.77836363636</v>
      </c>
      <c r="AB27" s="8">
        <v>0.21227800935251</v>
      </c>
      <c r="AC27" s="4">
        <v>11.0</v>
      </c>
      <c r="AD27" s="9">
        <v>0</v>
      </c>
      <c r="AE27" s="4">
        <v>1.0</v>
      </c>
      <c r="AF27" s="9">
        <v>0</v>
      </c>
      <c r="AG27" s="18">
        <v>0.090909090909091</v>
      </c>
      <c r="AH27" s="9">
        <v>0</v>
      </c>
      <c r="AI27" s="9">
        <v>0</v>
      </c>
      <c r="AJ27" s="4">
        <v>4.0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50</v>
      </c>
      <c r="E28" s="4">
        <v>50.0</v>
      </c>
      <c r="F28" s="5">
        <v>130000.0</v>
      </c>
      <c r="G28" s="9">
        <v>0</v>
      </c>
      <c r="H28" s="9">
        <v>0</v>
      </c>
      <c r="I28" s="4">
        <v>5.0</v>
      </c>
      <c r="J28" s="5">
        <v>13499.995</v>
      </c>
      <c r="K28" s="4">
        <v>349.090896</v>
      </c>
      <c r="L28" s="5">
        <v>942545.070109</v>
      </c>
      <c r="M28" s="10">
        <v>1.0</v>
      </c>
      <c r="N28" s="4">
        <v>241.0</v>
      </c>
      <c r="O28" s="4">
        <v>21.818181</v>
      </c>
      <c r="P28" s="4">
        <v>1.0</v>
      </c>
      <c r="Q28" s="4">
        <v>0.1</v>
      </c>
      <c r="R28" s="9">
        <v>0</v>
      </c>
      <c r="S28" s="9">
        <v>0</v>
      </c>
      <c r="T28" s="4">
        <v>6.25</v>
      </c>
      <c r="U28" s="15" t="s">
        <v>57</v>
      </c>
      <c r="V28" s="5">
        <v>573719.804</v>
      </c>
      <c r="W28" s="5">
        <v>2380.5800995851</v>
      </c>
      <c r="X28" s="5">
        <v>191839.155</v>
      </c>
      <c r="Y28" s="5">
        <v>796.01309128631</v>
      </c>
      <c r="Z28" s="5">
        <v>-381880.649</v>
      </c>
      <c r="AA28" s="5">
        <v>-1584.5670082988</v>
      </c>
      <c r="AB28" s="17">
        <v>-1.9906293321611</v>
      </c>
      <c r="AC28" s="4">
        <v>241.0</v>
      </c>
      <c r="AD28" s="4">
        <v>13.0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50</v>
      </c>
      <c r="E29" s="4">
        <v>20.0</v>
      </c>
      <c r="F29" s="5">
        <v>1284.0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4">
        <v>0</v>
      </c>
      <c r="N29" s="9">
        <v>0</v>
      </c>
      <c r="O29" s="9">
        <v>0</v>
      </c>
      <c r="P29" s="9">
        <v>0</v>
      </c>
      <c r="Q29" s="9">
        <v>0</v>
      </c>
      <c r="R29" s="4">
        <v>4.0</v>
      </c>
      <c r="S29" s="5">
        <v>256.8</v>
      </c>
      <c r="T29" s="9">
        <v>0</v>
      </c>
      <c r="U29" s="15" t="s">
        <v>57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69</v>
      </c>
      <c r="E30" s="4">
        <v>20.0</v>
      </c>
      <c r="F30" s="5">
        <v>372.6</v>
      </c>
      <c r="G30" s="9">
        <v>0</v>
      </c>
      <c r="H30" s="9">
        <v>0</v>
      </c>
      <c r="I30" s="9">
        <v>0</v>
      </c>
      <c r="J30" s="9">
        <v>0</v>
      </c>
      <c r="K30" s="4">
        <v>17.454544</v>
      </c>
      <c r="L30" s="5">
        <v>336.174517</v>
      </c>
      <c r="M30" s="10">
        <v>1.0</v>
      </c>
      <c r="N30" s="4">
        <v>12.0</v>
      </c>
      <c r="O30" s="4">
        <v>1.090909</v>
      </c>
      <c r="P30" s="9">
        <v>0</v>
      </c>
      <c r="Q30" s="9">
        <v>0</v>
      </c>
      <c r="R30" s="4">
        <v>24.0</v>
      </c>
      <c r="S30" s="5">
        <v>462.24</v>
      </c>
      <c r="T30" s="4">
        <v>0.666666</v>
      </c>
      <c r="U30" s="13">
        <v>36.000036000036</v>
      </c>
      <c r="V30" s="5">
        <v>216.0</v>
      </c>
      <c r="W30" s="5">
        <v>18.0</v>
      </c>
      <c r="X30" s="5">
        <v>336.456</v>
      </c>
      <c r="Y30" s="5">
        <v>28.038</v>
      </c>
      <c r="Z30" s="5">
        <v>120.456</v>
      </c>
      <c r="AA30" s="5">
        <v>10.038</v>
      </c>
      <c r="AB30" s="12">
        <v>0.35801412368928</v>
      </c>
      <c r="AC30" s="4">
        <v>12.0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69</v>
      </c>
      <c r="E31" s="4">
        <v>20.0</v>
      </c>
      <c r="F31" s="5">
        <v>400.0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5" t="s">
        <v>57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50</v>
      </c>
      <c r="E32" s="4">
        <v>20.0</v>
      </c>
      <c r="F32" s="5">
        <v>400.0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5" t="s">
        <v>57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50</v>
      </c>
      <c r="E33" s="9">
        <v>0</v>
      </c>
      <c r="F33" s="9">
        <v>0</v>
      </c>
      <c r="G33" s="9">
        <v>0</v>
      </c>
      <c r="H33" s="9">
        <v>0</v>
      </c>
      <c r="I33" s="4">
        <v>2.0</v>
      </c>
      <c r="J33" s="5">
        <v>3000.002</v>
      </c>
      <c r="K33" s="9">
        <v>0</v>
      </c>
      <c r="L33" s="9">
        <v>0</v>
      </c>
      <c r="M33" s="14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5" t="s">
        <v>57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50</v>
      </c>
      <c r="E34" s="9">
        <v>0</v>
      </c>
      <c r="F34" s="9">
        <v>0</v>
      </c>
      <c r="G34" s="9">
        <v>0</v>
      </c>
      <c r="H34" s="9">
        <v>0</v>
      </c>
      <c r="I34" s="4">
        <v>2.0</v>
      </c>
      <c r="J34" s="5">
        <v>3000.002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5" t="s">
        <v>57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69</v>
      </c>
      <c r="E35" s="4">
        <v>10.0</v>
      </c>
      <c r="F35" s="5">
        <v>3000.0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4">
        <v>0</v>
      </c>
      <c r="N35" s="9">
        <v>0</v>
      </c>
      <c r="O35" s="9">
        <v>0</v>
      </c>
      <c r="P35" s="9">
        <v>0</v>
      </c>
      <c r="Q35" s="9">
        <v>0</v>
      </c>
      <c r="R35" s="4">
        <v>8.0</v>
      </c>
      <c r="S35" s="5">
        <v>2160.0</v>
      </c>
      <c r="T35" s="9">
        <v>0</v>
      </c>
      <c r="U35" s="15" t="s">
        <v>57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4">
        <v>1.0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44</v>
      </c>
      <c r="E36" s="9">
        <v>0</v>
      </c>
      <c r="F36" s="9">
        <v>0</v>
      </c>
      <c r="G36" s="9">
        <v>0</v>
      </c>
      <c r="H36" s="9">
        <v>0</v>
      </c>
      <c r="I36" s="4">
        <v>5000.0</v>
      </c>
      <c r="J36" s="5">
        <v>375000.0</v>
      </c>
      <c r="K36" s="4">
        <v>1002.181808</v>
      </c>
      <c r="L36" s="5">
        <v>75163.6356</v>
      </c>
      <c r="M36" s="10">
        <v>1.0</v>
      </c>
      <c r="N36" s="4">
        <v>689.0</v>
      </c>
      <c r="O36" s="4">
        <v>62.636363</v>
      </c>
      <c r="P36" s="4">
        <v>3629.0</v>
      </c>
      <c r="Q36" s="4">
        <v>357.9</v>
      </c>
      <c r="R36" s="4">
        <v>2167.0</v>
      </c>
      <c r="S36" s="5">
        <v>162525.0</v>
      </c>
      <c r="T36" s="4">
        <v>308.5</v>
      </c>
      <c r="U36" s="13">
        <v>7.0243111831442</v>
      </c>
      <c r="V36" s="5">
        <v>44785.0</v>
      </c>
      <c r="W36" s="5">
        <v>65.0</v>
      </c>
      <c r="X36" s="5">
        <v>60781.142</v>
      </c>
      <c r="Y36" s="5">
        <v>88.216461538462</v>
      </c>
      <c r="Z36" s="5">
        <v>15996.142</v>
      </c>
      <c r="AA36" s="5">
        <v>23.216461538462</v>
      </c>
      <c r="AB36" s="12">
        <v>0.26317606865629</v>
      </c>
      <c r="AC36" s="4">
        <v>689.0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3629.0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44</v>
      </c>
      <c r="E37" s="4">
        <v>2000.0</v>
      </c>
      <c r="F37" s="5">
        <v>96300.0</v>
      </c>
      <c r="G37" s="9">
        <v>0</v>
      </c>
      <c r="H37" s="9">
        <v>0</v>
      </c>
      <c r="I37" s="4">
        <v>2000.0</v>
      </c>
      <c r="J37" s="5">
        <v>110000.0</v>
      </c>
      <c r="K37" s="4">
        <v>589.090896</v>
      </c>
      <c r="L37" s="5">
        <v>32399.99928</v>
      </c>
      <c r="M37" s="10">
        <v>1.0</v>
      </c>
      <c r="N37" s="4">
        <v>411.0</v>
      </c>
      <c r="O37" s="4">
        <v>36.818181</v>
      </c>
      <c r="P37" s="4">
        <v>1494.0</v>
      </c>
      <c r="Q37" s="4">
        <v>147.4</v>
      </c>
      <c r="R37" s="4">
        <v>1697.0</v>
      </c>
      <c r="S37" s="5">
        <v>93335.0</v>
      </c>
      <c r="T37" s="4">
        <v>128.666666</v>
      </c>
      <c r="U37" s="13">
        <v>13.189119239322</v>
      </c>
      <c r="V37" s="5">
        <v>18495.0</v>
      </c>
      <c r="W37" s="5">
        <v>45.0</v>
      </c>
      <c r="X37" s="5">
        <v>36246.963</v>
      </c>
      <c r="Y37" s="5">
        <v>88.192124087591</v>
      </c>
      <c r="Z37" s="5">
        <v>17751.963</v>
      </c>
      <c r="AA37" s="5">
        <v>43.192124087591</v>
      </c>
      <c r="AB37" s="12">
        <v>0.48975035508492</v>
      </c>
      <c r="AC37" s="4">
        <v>411.0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1494.0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2000.0</v>
      </c>
      <c r="F38" s="5">
        <v>53500.0</v>
      </c>
      <c r="G38" s="9">
        <v>0</v>
      </c>
      <c r="H38" s="9">
        <v>0</v>
      </c>
      <c r="I38" s="4">
        <v>4000.0</v>
      </c>
      <c r="J38" s="5">
        <v>140000.0</v>
      </c>
      <c r="K38" s="4">
        <v>861.090896</v>
      </c>
      <c r="L38" s="5">
        <v>30138.18136</v>
      </c>
      <c r="M38" s="10">
        <v>1.0</v>
      </c>
      <c r="N38" s="4">
        <v>596.0</v>
      </c>
      <c r="O38" s="4">
        <v>53.818181</v>
      </c>
      <c r="P38" s="4">
        <v>3456.0</v>
      </c>
      <c r="Q38" s="4">
        <v>339.9</v>
      </c>
      <c r="R38" s="4">
        <v>1283.0</v>
      </c>
      <c r="S38" s="5">
        <v>44905.0</v>
      </c>
      <c r="T38" s="4">
        <v>290.333333</v>
      </c>
      <c r="U38" s="7">
        <v>4.4190585584605</v>
      </c>
      <c r="V38" s="5">
        <v>14900.0</v>
      </c>
      <c r="W38" s="5">
        <v>25.0</v>
      </c>
      <c r="X38" s="5">
        <v>24808.855</v>
      </c>
      <c r="Y38" s="5">
        <v>41.625595637584</v>
      </c>
      <c r="Z38" s="5">
        <v>9908.855</v>
      </c>
      <c r="AA38" s="5">
        <v>16.625595637584</v>
      </c>
      <c r="AB38" s="12">
        <v>0.39940799363776</v>
      </c>
      <c r="AC38" s="4">
        <v>596.0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3456.0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120</v>
      </c>
      <c r="C39" t="s">
        <v>121</v>
      </c>
      <c r="D39" s="3" t="s">
        <v>44</v>
      </c>
      <c r="E39" s="4">
        <v>2000.0</v>
      </c>
      <c r="F39" s="5">
        <v>85600.0</v>
      </c>
      <c r="G39" s="9">
        <v>0</v>
      </c>
      <c r="H39" s="9">
        <v>0</v>
      </c>
      <c r="I39" s="4">
        <v>3000.0</v>
      </c>
      <c r="J39" s="5">
        <v>135000.0</v>
      </c>
      <c r="K39" s="4">
        <v>628.363632</v>
      </c>
      <c r="L39" s="5">
        <v>28276.36344</v>
      </c>
      <c r="M39" s="10">
        <v>1.0</v>
      </c>
      <c r="N39" s="4">
        <v>432.0</v>
      </c>
      <c r="O39" s="4">
        <v>39.272727</v>
      </c>
      <c r="P39" s="4">
        <v>1732.0</v>
      </c>
      <c r="Q39" s="4">
        <v>174.5</v>
      </c>
      <c r="R39" s="4">
        <v>2014.0</v>
      </c>
      <c r="S39" s="5">
        <v>90630.0</v>
      </c>
      <c r="T39" s="4">
        <v>145.75</v>
      </c>
      <c r="U39" s="13">
        <v>13.818181818182</v>
      </c>
      <c r="V39" s="5">
        <v>17280.0</v>
      </c>
      <c r="W39" s="5">
        <v>40.0</v>
      </c>
      <c r="X39" s="5">
        <v>32033.33</v>
      </c>
      <c r="Y39" s="5">
        <v>74.151226851852</v>
      </c>
      <c r="Z39" s="5">
        <v>14753.33</v>
      </c>
      <c r="AA39" s="5">
        <v>34.151226851852</v>
      </c>
      <c r="AB39" s="12">
        <v>0.46056185853922</v>
      </c>
      <c r="AC39" s="4">
        <v>432.0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1732.0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122</v>
      </c>
      <c r="C40" t="s">
        <v>123</v>
      </c>
      <c r="D40" s="3" t="s">
        <v>50</v>
      </c>
      <c r="E40" s="9">
        <v>0</v>
      </c>
      <c r="F40" s="9">
        <v>0</v>
      </c>
      <c r="G40" s="9">
        <v>0</v>
      </c>
      <c r="H40" s="9">
        <v>0</v>
      </c>
      <c r="I40" s="4">
        <v>260.0</v>
      </c>
      <c r="J40" s="5">
        <v>5200.0</v>
      </c>
      <c r="K40" s="9">
        <v>0</v>
      </c>
      <c r="L40" s="9">
        <v>0</v>
      </c>
      <c r="M40" s="14">
        <v>0</v>
      </c>
      <c r="N40" s="9">
        <v>0</v>
      </c>
      <c r="O40" s="9">
        <v>0</v>
      </c>
      <c r="P40" s="4">
        <v>258.0</v>
      </c>
      <c r="Q40" s="4">
        <v>25.8</v>
      </c>
      <c r="R40" s="4">
        <v>2.0</v>
      </c>
      <c r="S40" s="5">
        <v>40.0</v>
      </c>
      <c r="T40" s="4">
        <v>21.5</v>
      </c>
      <c r="U40" s="11">
        <v>0.093023255813953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258.0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124</v>
      </c>
      <c r="C41" t="s">
        <v>125</v>
      </c>
      <c r="D41" s="3" t="s">
        <v>44</v>
      </c>
      <c r="E41" s="4">
        <v>30.0</v>
      </c>
      <c r="F41" s="5">
        <v>123000.0</v>
      </c>
      <c r="G41" s="9">
        <v>0</v>
      </c>
      <c r="H41" s="9">
        <v>0</v>
      </c>
      <c r="I41" s="9">
        <v>0</v>
      </c>
      <c r="J41" s="9">
        <v>0</v>
      </c>
      <c r="K41" s="4">
        <v>116.363632</v>
      </c>
      <c r="L41" s="5">
        <v>460683.619088</v>
      </c>
      <c r="M41" s="10">
        <v>1.0</v>
      </c>
      <c r="N41" s="4">
        <v>80.0</v>
      </c>
      <c r="O41" s="4">
        <v>7.272727</v>
      </c>
      <c r="P41" s="4">
        <v>34.0</v>
      </c>
      <c r="Q41" s="4">
        <v>3.4</v>
      </c>
      <c r="R41" s="4">
        <v>66.0</v>
      </c>
      <c r="S41" s="5">
        <v>261294.0</v>
      </c>
      <c r="T41" s="4">
        <v>2.833333</v>
      </c>
      <c r="U41" s="13">
        <v>23.294120387544</v>
      </c>
      <c r="V41" s="5">
        <v>270654.227</v>
      </c>
      <c r="W41" s="5">
        <v>3383.1778375</v>
      </c>
      <c r="X41" s="5">
        <v>446841.846</v>
      </c>
      <c r="Y41" s="5">
        <v>5585.523075</v>
      </c>
      <c r="Z41" s="5">
        <v>176187.619</v>
      </c>
      <c r="AA41" s="5">
        <v>2202.3452375</v>
      </c>
      <c r="AB41" s="12">
        <v>0.39429525362761</v>
      </c>
      <c r="AC41" s="4">
        <v>80.0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34.0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126</v>
      </c>
      <c r="C42" t="s">
        <v>127</v>
      </c>
      <c r="D42" s="3" t="s">
        <v>50</v>
      </c>
      <c r="E42" s="4">
        <v>60.0</v>
      </c>
      <c r="F42" s="5">
        <v>342000.0</v>
      </c>
      <c r="G42" s="9">
        <v>0</v>
      </c>
      <c r="H42" s="9">
        <v>0</v>
      </c>
      <c r="I42" s="9">
        <v>0</v>
      </c>
      <c r="J42" s="9">
        <v>0</v>
      </c>
      <c r="K42" s="4">
        <v>11.636352</v>
      </c>
      <c r="L42" s="5">
        <v>48174.404189</v>
      </c>
      <c r="M42" s="10">
        <v>1.0</v>
      </c>
      <c r="N42" s="4">
        <v>8.0</v>
      </c>
      <c r="O42" s="4">
        <v>0.727272</v>
      </c>
      <c r="P42" s="9">
        <v>0</v>
      </c>
      <c r="Q42" s="4">
        <v>0.2</v>
      </c>
      <c r="R42" s="9">
        <v>0</v>
      </c>
      <c r="S42" s="9">
        <v>0</v>
      </c>
      <c r="T42" s="9">
        <v>0</v>
      </c>
      <c r="U42" s="15" t="s">
        <v>57</v>
      </c>
      <c r="V42" s="5">
        <v>33119.93</v>
      </c>
      <c r="W42" s="5">
        <v>4139.99125</v>
      </c>
      <c r="X42" s="5">
        <v>51928.972</v>
      </c>
      <c r="Y42" s="5">
        <v>6491.1215</v>
      </c>
      <c r="Z42" s="5">
        <v>18809.042</v>
      </c>
      <c r="AA42" s="5">
        <v>2351.13025</v>
      </c>
      <c r="AB42" s="12">
        <v>0.36220709318105</v>
      </c>
      <c r="AC42" s="4">
        <v>8.0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128</v>
      </c>
      <c r="C43" t="s">
        <v>129</v>
      </c>
      <c r="D43" s="3" t="s">
        <v>50</v>
      </c>
      <c r="E43" s="4">
        <v>40.0</v>
      </c>
      <c r="F43" s="5">
        <v>108499.97</v>
      </c>
      <c r="G43" s="9">
        <v>0</v>
      </c>
      <c r="H43" s="9">
        <v>0</v>
      </c>
      <c r="I43" s="9">
        <v>0</v>
      </c>
      <c r="J43" s="9">
        <v>0</v>
      </c>
      <c r="K43" s="4">
        <v>113.454544</v>
      </c>
      <c r="L43" s="5">
        <v>333442.904816</v>
      </c>
      <c r="M43" s="10">
        <v>1.0</v>
      </c>
      <c r="N43" s="4">
        <v>78.0</v>
      </c>
      <c r="O43" s="4">
        <v>7.090909</v>
      </c>
      <c r="P43" s="4">
        <v>16.0</v>
      </c>
      <c r="Q43" s="4">
        <v>2.2</v>
      </c>
      <c r="R43" s="4">
        <v>23.0</v>
      </c>
      <c r="S43" s="5">
        <v>67597.0</v>
      </c>
      <c r="T43" s="4">
        <v>1.916666</v>
      </c>
      <c r="U43" s="13">
        <v>12.000004173914</v>
      </c>
      <c r="V43" s="5">
        <v>214244.902</v>
      </c>
      <c r="W43" s="5">
        <v>2746.7295128205</v>
      </c>
      <c r="X43" s="5">
        <v>273343.428</v>
      </c>
      <c r="Y43" s="5">
        <v>3504.4029230769</v>
      </c>
      <c r="Z43" s="5">
        <v>59098.526</v>
      </c>
      <c r="AA43" s="5">
        <v>757.67341025641</v>
      </c>
      <c r="AB43" s="8">
        <v>0.21620613465051</v>
      </c>
      <c r="AC43" s="4">
        <v>78.0</v>
      </c>
      <c r="AD43" s="4">
        <v>1.0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16.0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130</v>
      </c>
      <c r="C44" t="s">
        <v>131</v>
      </c>
      <c r="D44" s="3" t="s">
        <v>50</v>
      </c>
      <c r="E44" s="9">
        <v>0</v>
      </c>
      <c r="F44" s="9">
        <v>0</v>
      </c>
      <c r="G44" s="9">
        <v>0</v>
      </c>
      <c r="H44" s="9">
        <v>0</v>
      </c>
      <c r="I44" s="4">
        <v>30.0</v>
      </c>
      <c r="J44" s="5">
        <v>4500.0</v>
      </c>
      <c r="K44" s="4">
        <v>8.727264</v>
      </c>
      <c r="L44" s="5">
        <v>1309.0896</v>
      </c>
      <c r="M44" s="10">
        <v>1.0</v>
      </c>
      <c r="N44" s="4">
        <v>6.0</v>
      </c>
      <c r="O44" s="4">
        <v>0.545454</v>
      </c>
      <c r="P44" s="4">
        <v>5.0</v>
      </c>
      <c r="Q44" s="4">
        <v>0.5</v>
      </c>
      <c r="R44" s="4">
        <v>18.0</v>
      </c>
      <c r="S44" s="5">
        <v>2700.0</v>
      </c>
      <c r="T44" s="4">
        <v>0.5</v>
      </c>
      <c r="U44" s="13">
        <v>36.0</v>
      </c>
      <c r="V44" s="9">
        <v>0</v>
      </c>
      <c r="W44" s="5">
        <v>0.0</v>
      </c>
      <c r="X44" s="5">
        <v>1144.86</v>
      </c>
      <c r="Y44" s="5">
        <v>190.81</v>
      </c>
      <c r="Z44" s="5">
        <v>1144.86</v>
      </c>
      <c r="AA44" s="5">
        <v>190.81</v>
      </c>
      <c r="AB44" s="12">
        <v>1.0</v>
      </c>
      <c r="AC44" s="4">
        <v>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5.0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132</v>
      </c>
      <c r="C45" t="s">
        <v>133</v>
      </c>
      <c r="D45" s="3" t="s">
        <v>50</v>
      </c>
      <c r="E45" s="9">
        <v>0</v>
      </c>
      <c r="F45" s="9">
        <v>0</v>
      </c>
      <c r="G45" s="9">
        <v>0</v>
      </c>
      <c r="H45" s="9">
        <v>0</v>
      </c>
      <c r="I45" s="4">
        <v>20.0</v>
      </c>
      <c r="J45" s="5">
        <v>3600.02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20.0</v>
      </c>
      <c r="S45" s="5">
        <v>3600.02</v>
      </c>
      <c r="T45" s="9">
        <v>0</v>
      </c>
      <c r="U45" s="15" t="s">
        <v>57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134</v>
      </c>
      <c r="C46" t="s">
        <v>135</v>
      </c>
      <c r="D46" s="3" t="s">
        <v>50</v>
      </c>
      <c r="E46" s="9">
        <v>0</v>
      </c>
      <c r="F46" s="9">
        <v>0</v>
      </c>
      <c r="G46" s="9">
        <v>0</v>
      </c>
      <c r="H46" s="9">
        <v>0</v>
      </c>
      <c r="I46" s="4">
        <v>10.0</v>
      </c>
      <c r="J46" s="5">
        <v>800.0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10.0</v>
      </c>
      <c r="S46" s="5">
        <v>800.0</v>
      </c>
      <c r="T46" s="9">
        <v>0</v>
      </c>
      <c r="U46" s="15" t="s">
        <v>57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136</v>
      </c>
      <c r="C47" t="s">
        <v>137</v>
      </c>
      <c r="D47" s="3" t="s">
        <v>50</v>
      </c>
      <c r="E47" s="4">
        <v>5.0</v>
      </c>
      <c r="F47" s="5">
        <v>2407.5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5.0</v>
      </c>
      <c r="S47" s="5">
        <v>2407.5</v>
      </c>
      <c r="T47" s="9">
        <v>0</v>
      </c>
      <c r="U47" s="15" t="s">
        <v>57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138</v>
      </c>
      <c r="C48" t="s">
        <v>139</v>
      </c>
      <c r="D48" s="3" t="s">
        <v>69</v>
      </c>
      <c r="E48" s="4">
        <v>10.0</v>
      </c>
      <c r="F48" s="5">
        <v>94999.99</v>
      </c>
      <c r="G48" s="9">
        <v>0</v>
      </c>
      <c r="H48" s="9">
        <v>0</v>
      </c>
      <c r="I48" s="9">
        <v>0</v>
      </c>
      <c r="J48" s="9">
        <v>0</v>
      </c>
      <c r="K48" s="4">
        <v>7.27272</v>
      </c>
      <c r="L48" s="5">
        <v>69090.832727</v>
      </c>
      <c r="M48" s="10">
        <v>1.0</v>
      </c>
      <c r="N48" s="4">
        <v>5.0</v>
      </c>
      <c r="O48" s="4">
        <v>0.454545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5" t="s">
        <v>57</v>
      </c>
      <c r="V48" s="5">
        <v>44392.51</v>
      </c>
      <c r="W48" s="5">
        <v>8878.502</v>
      </c>
      <c r="X48" s="5">
        <v>52897.197</v>
      </c>
      <c r="Y48" s="5">
        <v>10579.4394</v>
      </c>
      <c r="Z48" s="5">
        <v>8504.687</v>
      </c>
      <c r="AA48" s="5">
        <v>1700.9374</v>
      </c>
      <c r="AB48" s="8">
        <v>0.16077764952271</v>
      </c>
      <c r="AC48" s="4">
        <v>5.0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140</v>
      </c>
      <c r="C49" t="s">
        <v>141</v>
      </c>
      <c r="D49" s="3" t="s">
        <v>69</v>
      </c>
      <c r="E49" s="4">
        <v>300.0</v>
      </c>
      <c r="F49" s="5">
        <v>540000.0</v>
      </c>
      <c r="G49" s="9">
        <v>0</v>
      </c>
      <c r="H49" s="9">
        <v>0</v>
      </c>
      <c r="I49" s="4">
        <v>8.0</v>
      </c>
      <c r="J49" s="5">
        <v>14400.0</v>
      </c>
      <c r="K49" s="4">
        <v>276.363632</v>
      </c>
      <c r="L49" s="5">
        <v>497454.5376</v>
      </c>
      <c r="M49" s="10">
        <v>1.0</v>
      </c>
      <c r="N49" s="4">
        <v>190.0</v>
      </c>
      <c r="O49" s="4">
        <v>17.272727</v>
      </c>
      <c r="P49" s="9">
        <v>0</v>
      </c>
      <c r="Q49" s="4">
        <v>0.8</v>
      </c>
      <c r="R49" s="9">
        <v>0</v>
      </c>
      <c r="S49" s="9">
        <v>0</v>
      </c>
      <c r="T49" s="4">
        <v>0.083333</v>
      </c>
      <c r="U49" s="15" t="s">
        <v>57</v>
      </c>
      <c r="V49" s="5">
        <v>319626.183</v>
      </c>
      <c r="W49" s="5">
        <v>1682.2430684211</v>
      </c>
      <c r="X49" s="5">
        <v>125822.441</v>
      </c>
      <c r="Y49" s="5">
        <v>662.22337368421</v>
      </c>
      <c r="Z49" s="5">
        <v>-193803.742</v>
      </c>
      <c r="AA49" s="5">
        <v>-1020.0196947368</v>
      </c>
      <c r="AB49" s="17">
        <v>-1.5402955185077</v>
      </c>
      <c r="AC49" s="4">
        <v>190.0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50</v>
      </c>
      <c r="E50" s="9">
        <v>0</v>
      </c>
      <c r="F50" s="9">
        <v>0</v>
      </c>
      <c r="G50" s="9">
        <v>0</v>
      </c>
      <c r="H50" s="9">
        <v>0</v>
      </c>
      <c r="I50" s="4">
        <v>10.0</v>
      </c>
      <c r="J50" s="5">
        <v>1200.01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10.0</v>
      </c>
      <c r="S50" s="5">
        <v>1200.01</v>
      </c>
      <c r="T50" s="9">
        <v>0</v>
      </c>
      <c r="U50" s="15" t="s">
        <v>57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1" t="s">
        <v>144</v>
      </c>
      <c r="B51" s="1"/>
      <c r="C51" s="1"/>
      <c r="D51" s="1"/>
      <c r="E51" s="1"/>
      <c r="F51" s="19">
        <f>SUM(F3:F51)</f>
        <v>4830321.8</v>
      </c>
      <c r="G51" s="1"/>
      <c r="H51" s="19">
        <f>SUM(H3:H51)</f>
        <v>1057298.4</v>
      </c>
      <c r="I51" s="1"/>
      <c r="J51" s="19">
        <f>SUM(J3:J51)</f>
        <v>2578957.029</v>
      </c>
      <c r="K51" s="1"/>
      <c r="L51" s="19">
        <f>SUM(L3:L51)</f>
        <v>5741852.114129</v>
      </c>
      <c r="M51" s="1"/>
      <c r="N51" s="1"/>
      <c r="O51" s="1"/>
      <c r="P51" s="1"/>
      <c r="Q51" s="1"/>
      <c r="R51" s="1"/>
      <c r="S51" s="19">
        <f>SUM(S3:S51)</f>
        <v>1676638.27</v>
      </c>
      <c r="T51" s="1"/>
      <c r="U51" s="1"/>
      <c r="V51" s="19">
        <f>SUM(V3:V51)</f>
        <v>3699426.618</v>
      </c>
      <c r="W51" s="1"/>
      <c r="X51" s="19">
        <f>SUM(X3:X51)</f>
        <v>4075810.825</v>
      </c>
      <c r="Y51" s="1"/>
      <c r="Z51" s="19">
        <f>SUM(Z3:Z51)</f>
        <v>376384.207</v>
      </c>
      <c r="AA51" s="1"/>
      <c r="AB51" s="1"/>
      <c r="AC51" s="1"/>
      <c r="AD51" s="1"/>
      <c r="AE51" s="1"/>
      <c r="AF51" s="19">
        <f>SUM(AF3:AF51)</f>
        <v>1704.88</v>
      </c>
      <c r="AG51" s="1"/>
      <c r="AH51" s="1"/>
      <c r="AI51" s="19">
        <f>SUM(AI3:AI51)</f>
        <v>0</v>
      </c>
      <c r="AJ51" s="1"/>
      <c r="AM51" s="5">
        <f>SUM(AM3:AM51)</f>
        <v>1704.88</v>
      </c>
      <c r="AP51" s="5">
        <f>SUM(AP3:AP51)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</v>
      </c>
      <c r="G1" s="1" t="s">
        <v>2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154</v>
      </c>
      <c r="C2" s="3" t="s">
        <v>155</v>
      </c>
      <c r="D2" s="20">
        <v>44599.0</v>
      </c>
      <c r="E2" t="s">
        <v>156</v>
      </c>
      <c r="F2" s="3" t="s">
        <v>70</v>
      </c>
      <c r="G2" t="s">
        <v>71</v>
      </c>
      <c r="H2" s="3" t="s">
        <v>157</v>
      </c>
      <c r="I2" s="4">
        <v>1.0</v>
      </c>
      <c r="J2" t="s">
        <v>158</v>
      </c>
      <c r="K2" t="s">
        <v>159</v>
      </c>
      <c r="L2" t="s">
        <v>160</v>
      </c>
    </row>
    <row r="3" spans="1:36">
      <c r="A3" s="3">
        <v>2</v>
      </c>
      <c r="B3" t="s">
        <v>154</v>
      </c>
      <c r="C3" s="3" t="s">
        <v>161</v>
      </c>
      <c r="D3" s="20">
        <v>44698.0</v>
      </c>
      <c r="E3" t="s">
        <v>162</v>
      </c>
      <c r="F3" s="3" t="s">
        <v>74</v>
      </c>
      <c r="G3" t="s">
        <v>75</v>
      </c>
      <c r="H3" s="3" t="s">
        <v>157</v>
      </c>
      <c r="I3" s="4">
        <v>1.0</v>
      </c>
      <c r="J3" t="s">
        <v>158</v>
      </c>
      <c r="K3" t="s">
        <v>159</v>
      </c>
      <c r="L3" t="s">
        <v>163</v>
      </c>
    </row>
    <row r="4" spans="1:36">
      <c r="A4" s="3">
        <v>3</v>
      </c>
      <c r="B4" t="s">
        <v>164</v>
      </c>
      <c r="C4" s="3" t="s">
        <v>165</v>
      </c>
      <c r="D4" s="20">
        <v>44781.0</v>
      </c>
      <c r="E4" t="s">
        <v>166</v>
      </c>
      <c r="F4" s="3" t="s">
        <v>80</v>
      </c>
      <c r="G4" t="s">
        <v>81</v>
      </c>
      <c r="H4" s="3" t="s">
        <v>157</v>
      </c>
      <c r="I4" s="4">
        <v>1.0</v>
      </c>
      <c r="J4" t="s">
        <v>167</v>
      </c>
      <c r="K4" t="s">
        <v>168</v>
      </c>
      <c r="L4" t="s">
        <v>169</v>
      </c>
    </row>
    <row r="5" spans="1:36">
      <c r="A5" s="3">
        <v>4</v>
      </c>
      <c r="B5" t="s">
        <v>154</v>
      </c>
      <c r="C5" s="3" t="s">
        <v>170</v>
      </c>
      <c r="D5" s="20">
        <v>44603.0</v>
      </c>
      <c r="E5" t="s">
        <v>171</v>
      </c>
      <c r="F5" s="3" t="s">
        <v>98</v>
      </c>
      <c r="G5" t="s">
        <v>99</v>
      </c>
      <c r="H5" s="3" t="s">
        <v>172</v>
      </c>
      <c r="I5" s="4">
        <v>3.0</v>
      </c>
      <c r="J5" t="s">
        <v>158</v>
      </c>
      <c r="K5" t="s">
        <v>168</v>
      </c>
      <c r="L5" t="s">
        <v>173</v>
      </c>
    </row>
    <row r="6" spans="1:36">
      <c r="A6" s="3">
        <v>5</v>
      </c>
      <c r="B6" t="s">
        <v>174</v>
      </c>
      <c r="C6" s="3" t="s">
        <v>175</v>
      </c>
      <c r="D6" s="20">
        <v>44609.0</v>
      </c>
      <c r="E6" t="s">
        <v>176</v>
      </c>
      <c r="F6" s="3" t="s">
        <v>98</v>
      </c>
      <c r="G6" t="s">
        <v>99</v>
      </c>
      <c r="H6" s="3" t="s">
        <v>172</v>
      </c>
      <c r="I6" s="4">
        <v>1.0</v>
      </c>
      <c r="J6" t="s">
        <v>158</v>
      </c>
      <c r="K6" t="s">
        <v>168</v>
      </c>
      <c r="L6" t="s">
        <v>177</v>
      </c>
    </row>
    <row r="7" spans="1:36">
      <c r="A7" s="3">
        <v>6</v>
      </c>
      <c r="B7" t="s">
        <v>154</v>
      </c>
      <c r="C7" s="3" t="s">
        <v>178</v>
      </c>
      <c r="D7" s="20">
        <v>44628.0</v>
      </c>
      <c r="E7" t="s">
        <v>179</v>
      </c>
      <c r="F7" s="3" t="s">
        <v>98</v>
      </c>
      <c r="G7" t="s">
        <v>99</v>
      </c>
      <c r="H7" s="3" t="s">
        <v>172</v>
      </c>
      <c r="I7" s="4">
        <v>1.0</v>
      </c>
      <c r="J7" t="s">
        <v>158</v>
      </c>
      <c r="K7" t="s">
        <v>159</v>
      </c>
      <c r="L7" t="s">
        <v>180</v>
      </c>
    </row>
    <row r="8" spans="1:36">
      <c r="A8" s="3">
        <v>7</v>
      </c>
      <c r="B8" t="s">
        <v>154</v>
      </c>
      <c r="C8" s="3" t="s">
        <v>181</v>
      </c>
      <c r="D8" s="20">
        <v>44631.0</v>
      </c>
      <c r="E8" t="s">
        <v>182</v>
      </c>
      <c r="F8" s="3" t="s">
        <v>98</v>
      </c>
      <c r="G8" t="s">
        <v>99</v>
      </c>
      <c r="H8" s="3" t="s">
        <v>172</v>
      </c>
      <c r="I8" s="4">
        <v>1.0</v>
      </c>
      <c r="J8" t="s">
        <v>158</v>
      </c>
      <c r="K8" t="s">
        <v>159</v>
      </c>
      <c r="L8" t="s">
        <v>183</v>
      </c>
    </row>
    <row r="9" spans="1:36">
      <c r="A9" s="3">
        <v>8</v>
      </c>
      <c r="B9" t="s">
        <v>154</v>
      </c>
      <c r="C9" s="3" t="s">
        <v>184</v>
      </c>
      <c r="D9" s="20">
        <v>44641.0</v>
      </c>
      <c r="E9" t="s">
        <v>171</v>
      </c>
      <c r="F9" s="3" t="s">
        <v>98</v>
      </c>
      <c r="G9" t="s">
        <v>99</v>
      </c>
      <c r="H9" s="3" t="s">
        <v>172</v>
      </c>
      <c r="I9" s="4">
        <v>1.0</v>
      </c>
      <c r="J9" t="s">
        <v>158</v>
      </c>
      <c r="K9" t="s">
        <v>168</v>
      </c>
      <c r="L9" t="s">
        <v>185</v>
      </c>
    </row>
    <row r="10" spans="1:36">
      <c r="A10" s="3">
        <v>9</v>
      </c>
      <c r="B10" t="s">
        <v>154</v>
      </c>
      <c r="C10" s="3" t="s">
        <v>186</v>
      </c>
      <c r="D10" s="20">
        <v>44642.0</v>
      </c>
      <c r="E10" t="s">
        <v>187</v>
      </c>
      <c r="F10" s="3" t="s">
        <v>98</v>
      </c>
      <c r="G10" t="s">
        <v>99</v>
      </c>
      <c r="H10" s="3" t="s">
        <v>172</v>
      </c>
      <c r="I10" s="4">
        <v>1.0</v>
      </c>
      <c r="J10" t="s">
        <v>158</v>
      </c>
      <c r="K10" t="s">
        <v>168</v>
      </c>
      <c r="L10" t="s">
        <v>177</v>
      </c>
    </row>
    <row r="11" spans="1:36">
      <c r="A11" s="3">
        <v>10</v>
      </c>
      <c r="B11" t="s">
        <v>174</v>
      </c>
      <c r="C11" s="3" t="s">
        <v>188</v>
      </c>
      <c r="D11" s="20">
        <v>44646.0</v>
      </c>
      <c r="E11" t="s">
        <v>189</v>
      </c>
      <c r="F11" s="3" t="s">
        <v>98</v>
      </c>
      <c r="G11" t="s">
        <v>99</v>
      </c>
      <c r="H11" s="3" t="s">
        <v>172</v>
      </c>
      <c r="I11" s="4">
        <v>1.0</v>
      </c>
      <c r="J11" t="s">
        <v>158</v>
      </c>
      <c r="K11" t="s">
        <v>159</v>
      </c>
      <c r="L11" t="s">
        <v>190</v>
      </c>
    </row>
    <row r="12" spans="1:36">
      <c r="A12" s="3">
        <v>11</v>
      </c>
      <c r="B12" t="s">
        <v>191</v>
      </c>
      <c r="C12" s="3" t="s">
        <v>192</v>
      </c>
      <c r="D12" s="20">
        <v>44650.0</v>
      </c>
      <c r="E12" t="s">
        <v>193</v>
      </c>
      <c r="F12" s="3" t="s">
        <v>98</v>
      </c>
      <c r="G12" t="s">
        <v>99</v>
      </c>
      <c r="H12" s="3" t="s">
        <v>172</v>
      </c>
      <c r="I12" s="4">
        <v>1.0</v>
      </c>
      <c r="J12" t="s">
        <v>158</v>
      </c>
      <c r="K12" t="s">
        <v>168</v>
      </c>
      <c r="L12" t="s">
        <v>194</v>
      </c>
    </row>
    <row r="13" spans="1:36">
      <c r="A13" s="3">
        <v>12</v>
      </c>
      <c r="B13" t="s">
        <v>154</v>
      </c>
      <c r="C13" s="3" t="s">
        <v>195</v>
      </c>
      <c r="D13" s="20">
        <v>44700.0</v>
      </c>
      <c r="E13" t="s">
        <v>196</v>
      </c>
      <c r="F13" s="3" t="s">
        <v>98</v>
      </c>
      <c r="G13" t="s">
        <v>99</v>
      </c>
      <c r="H13" s="3" t="s">
        <v>172</v>
      </c>
      <c r="I13" s="4">
        <v>1.0</v>
      </c>
      <c r="J13" t="s">
        <v>158</v>
      </c>
      <c r="K13" t="s">
        <v>168</v>
      </c>
      <c r="L13" t="s">
        <v>197</v>
      </c>
    </row>
    <row r="14" spans="1:36">
      <c r="A14" s="3">
        <v>13</v>
      </c>
      <c r="B14" t="s">
        <v>191</v>
      </c>
      <c r="C14" s="3" t="s">
        <v>198</v>
      </c>
      <c r="D14" s="20">
        <v>44751.0</v>
      </c>
      <c r="E14" t="s">
        <v>199</v>
      </c>
      <c r="F14" s="3" t="s">
        <v>98</v>
      </c>
      <c r="G14" t="s">
        <v>99</v>
      </c>
      <c r="H14" s="3" t="s">
        <v>172</v>
      </c>
      <c r="I14" s="4">
        <v>1.0</v>
      </c>
      <c r="J14" t="s">
        <v>158</v>
      </c>
      <c r="K14" t="s">
        <v>159</v>
      </c>
      <c r="L14" t="s">
        <v>183</v>
      </c>
    </row>
    <row r="15" spans="1:36">
      <c r="A15" s="3">
        <v>14</v>
      </c>
      <c r="B15" t="s">
        <v>154</v>
      </c>
      <c r="C15" s="3" t="s">
        <v>200</v>
      </c>
      <c r="D15" s="20">
        <v>44849.0</v>
      </c>
      <c r="E15" t="s">
        <v>201</v>
      </c>
      <c r="F15" s="3" t="s">
        <v>98</v>
      </c>
      <c r="G15" t="s">
        <v>99</v>
      </c>
      <c r="H15" s="3" t="s">
        <v>172</v>
      </c>
      <c r="I15" s="4">
        <v>1.0</v>
      </c>
      <c r="J15" t="s">
        <v>158</v>
      </c>
      <c r="K15" t="s">
        <v>168</v>
      </c>
      <c r="L15" t="s">
        <v>202</v>
      </c>
    </row>
    <row r="16" spans="1:36">
      <c r="A16" s="3">
        <v>15</v>
      </c>
      <c r="B16" t="s">
        <v>154</v>
      </c>
      <c r="C16" s="3" t="s">
        <v>203</v>
      </c>
      <c r="D16" s="20">
        <v>44611.0</v>
      </c>
      <c r="E16" t="s">
        <v>204</v>
      </c>
      <c r="F16" s="3" t="s">
        <v>45</v>
      </c>
      <c r="G16" t="s">
        <v>46</v>
      </c>
      <c r="H16" s="3" t="s">
        <v>172</v>
      </c>
      <c r="I16" s="4">
        <v>1.0</v>
      </c>
      <c r="J16" t="s">
        <v>158</v>
      </c>
      <c r="K16" t="s">
        <v>205</v>
      </c>
      <c r="L16" t="s">
        <v>206</v>
      </c>
    </row>
    <row r="17" spans="1:36">
      <c r="A17" s="3">
        <v>16</v>
      </c>
      <c r="B17" t="s">
        <v>154</v>
      </c>
      <c r="C17" s="3" t="s">
        <v>207</v>
      </c>
      <c r="D17" s="20">
        <v>44834.0</v>
      </c>
      <c r="E17" t="s">
        <v>208</v>
      </c>
      <c r="F17" s="3" t="s">
        <v>45</v>
      </c>
      <c r="G17" t="s">
        <v>46</v>
      </c>
      <c r="H17" s="3" t="s">
        <v>172</v>
      </c>
      <c r="I17" s="4">
        <v>1.0</v>
      </c>
      <c r="J17" t="s">
        <v>158</v>
      </c>
      <c r="K17" t="s">
        <v>168</v>
      </c>
      <c r="L17" t="s">
        <v>209</v>
      </c>
    </row>
    <row r="18" spans="1:36">
      <c r="A18" s="3">
        <v>17</v>
      </c>
      <c r="B18" t="s">
        <v>174</v>
      </c>
      <c r="C18" s="3" t="s">
        <v>210</v>
      </c>
      <c r="D18" s="20">
        <v>44739.0</v>
      </c>
      <c r="E18" t="s">
        <v>211</v>
      </c>
      <c r="F18" s="3" t="s">
        <v>128</v>
      </c>
      <c r="G18" t="s">
        <v>129</v>
      </c>
      <c r="H18" s="3" t="s">
        <v>172</v>
      </c>
      <c r="I18" s="4">
        <v>1.0</v>
      </c>
      <c r="J18" t="s">
        <v>158</v>
      </c>
      <c r="K18" t="s">
        <v>212</v>
      </c>
      <c r="L18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2023-11-25T13:50:03+07:00</dcterms:created>
  <dcterms:modified xsi:type="dcterms:W3CDTF">2023-11-25T13:50:03+07:00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