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ข้อมูลซัพพลายเออร์" sheetId="1" r:id="rId4"/>
    <sheet name="ข้อมูลการคืนเคลมสินค้า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<sst xmlns="http://schemas.openxmlformats.org/spreadsheetml/2006/main" uniqueCount="119">
  <si>
    <t>ลำดับ</t>
  </si>
  <si>
    <t>รหัสสินค้า</t>
  </si>
  <si>
    <t>ชื่อสินค้า</t>
  </si>
  <si>
    <t>สถานะ</t>
  </si>
  <si>
    <t>ยอดซื้อ 2022</t>
  </si>
  <si>
    <t>จำนวน
(หน่วย)</t>
  </si>
  <si>
    <t>มูลค่า
(THB)</t>
  </si>
  <si>
    <t>ยอดซื้อ 2023</t>
  </si>
  <si>
    <t>ยอดซื้อจริง 2024</t>
  </si>
  <si>
    <t>ประมาณการสั่งซื้อ 2024</t>
  </si>
  <si>
    <t>Growth
(%)</t>
  </si>
  <si>
    <t>ยอดขาย 2023</t>
  </si>
  <si>
    <t>รวมทั้งหมด
(หน่วย)</t>
  </si>
  <si>
    <t>เฉลี่ยต่อเดือน
(หน่วย)</t>
  </si>
  <si>
    <t>ยอดขาย 2024</t>
  </si>
  <si>
    <t>สินค้าคงคลัง 13/02/2024</t>
  </si>
  <si>
    <t>จำนวนคงคลัง
(หน่วย)</t>
  </si>
  <si>
    <t>มูลค่าคงคลัง
(THB)</t>
  </si>
  <si>
    <t>ยอดขายเฉลี่ย
12 เดือน (หน่วย)</t>
  </si>
  <si>
    <t>T/O
(เดือน)</t>
  </si>
  <si>
    <t>วิเคราะห์การขาย 2023</t>
  </si>
  <si>
    <t>ต้นทุนขายรวม
(VAT) (THB)</t>
  </si>
  <si>
    <t>ต้นทุนขายเฉลี่ย/ตัว
(VAT) (THB)</t>
  </si>
  <si>
    <t>ราคาขายรวม
(VAT) (THB)</t>
  </si>
  <si>
    <t>ราคาขายเฉลี่ย/ตัว
(VAT) (THB)</t>
  </si>
  <si>
    <t>กำไรรวม
(THB)</t>
  </si>
  <si>
    <t>กำไรเฉลี่ย/ตัว
(VAT) (THB)</t>
  </si>
  <si>
    <t>% of GP</t>
  </si>
  <si>
    <t>ข้อมูลการเคลมสินค้า 2023</t>
  </si>
  <si>
    <t>ยอดขาย 2023
(หน่วย)</t>
  </si>
  <si>
    <t>คืนเพื่อเคลมซัพฯ
2023 (หน่วย)</t>
  </si>
  <si>
    <t>เคลมซัพฯ แล้ว
2023 (หน่วย)</t>
  </si>
  <si>
    <t>มูลค่าการเคลม
2023 (THB)</t>
  </si>
  <si>
    <t>% การเคลม
2023</t>
  </si>
  <si>
    <t>รอเคลมซัพฯ
(หน่วย)</t>
  </si>
  <si>
    <t>มูลค่ารอเคลมซัพฯ
(THB)</t>
  </si>
  <si>
    <t>วิเคราะห์การขาย 2024</t>
  </si>
  <si>
    <t>ข้อมูลการเคลมสินค้า 2024</t>
  </si>
  <si>
    <t>ยอดขาย 2024
(หน่วย)</t>
  </si>
  <si>
    <t>คืนเพื่อเคลมซัพฯ
2024 (หน่วย)</t>
  </si>
  <si>
    <t>เคลมซัพฯ แล้ว
2024 (หน่วย)</t>
  </si>
  <si>
    <t>มูลค่าการเคลม
2024 (THB)</t>
  </si>
  <si>
    <t>% การเคลม
2024</t>
  </si>
  <si>
    <t>34-106-001</t>
  </si>
  <si>
    <t>เครื่องเจาะดิน EUROX 5200CP (52.7CC)</t>
  </si>
  <si>
    <t>A</t>
  </si>
  <si>
    <t>06-010-011</t>
  </si>
  <si>
    <t>เครื่องพ่นยาแบตเตอรี่ EUROX (16 ลิตร) II</t>
  </si>
  <si>
    <t>M</t>
  </si>
  <si>
    <t>DEAD</t>
  </si>
  <si>
    <t>06-010-021</t>
  </si>
  <si>
    <t>เครื่องพ่นยาแบตเตอรี่ EUROX (20 ลิตร) II</t>
  </si>
  <si>
    <t>34-101-210</t>
  </si>
  <si>
    <t>สายเอ็นสลิงตัดหญ้า EUROX ขนาด 3มม. ยาว 15ม.</t>
  </si>
  <si>
    <t>34-101-260</t>
  </si>
  <si>
    <t>จานเอ็นตัดหญ้า EUROX (เล็ก)</t>
  </si>
  <si>
    <t>34-101-261</t>
  </si>
  <si>
    <t>จานเอ็นตัดหญ้า EUROX (ใหญ่)</t>
  </si>
  <si>
    <t>34-101-250</t>
  </si>
  <si>
    <t>กระปุกเอ็นตัดหญ้า EUROX (3 เมตร)</t>
  </si>
  <si>
    <t>06-504-201</t>
  </si>
  <si>
    <t>มอเตอร์เครื่องสีข้าว MARK III</t>
  </si>
  <si>
    <t>06-500-140</t>
  </si>
  <si>
    <t>411M (No.12) ชุดหัวเกียร์</t>
  </si>
  <si>
    <t>D22</t>
  </si>
  <si>
    <t>70-101-001</t>
  </si>
  <si>
    <t>ตะแกรงแยกข้าว EUROX RMM03 (สำหรับเครื่องสีข้าว 2in1)</t>
  </si>
  <si>
    <t>06-501-378</t>
  </si>
  <si>
    <t>EU35 คาร์บูเรเตอร์</t>
  </si>
  <si>
    <t>34-101-310</t>
  </si>
  <si>
    <t>ใบมีดตัดหญ้าสามเหลี่ยม (4 รู สีแดง)</t>
  </si>
  <si>
    <t>34-908-001</t>
  </si>
  <si>
    <t>เจาะดิน EU5200CP ชุดลานสตาร์ท</t>
  </si>
  <si>
    <t>06-501-521</t>
  </si>
  <si>
    <t>EU35CC Z No.21 Starter</t>
  </si>
  <si>
    <t>34-908-002</t>
  </si>
  <si>
    <t>เจาะดิน EU5200CP คาร์บูเรเตอร์ TL43/430(BD)</t>
  </si>
  <si>
    <t>06-501-322</t>
  </si>
  <si>
    <t>EU35 ชุดคันเร่ง</t>
  </si>
  <si>
    <t>06-512-011</t>
  </si>
  <si>
    <t>สายน้ำมัน (2.5 มิล) รถตัดหญ้า EU5200</t>
  </si>
  <si>
    <t>06-512-012</t>
  </si>
  <si>
    <t>สายน้ำมัน (3.0 มิล) รถตัดหญ้า EU5200</t>
  </si>
  <si>
    <t>06-504-104</t>
  </si>
  <si>
    <t>มู่เลย์เครื่องสีข้าว II</t>
  </si>
  <si>
    <t>99-880-013</t>
  </si>
  <si>
    <t>สายชาร์จเครื่องพ่นยาแบตเตอรี่ (16/20 ลิตร)</t>
  </si>
  <si>
    <t>06-500-149</t>
  </si>
  <si>
    <t>ปลอกกกเพลาตัดหญ้า 411</t>
  </si>
  <si>
    <t>34-908-003</t>
  </si>
  <si>
    <t>เจาะดิน EU5200CP ชุดสายคันเร่ง</t>
  </si>
  <si>
    <t>06-501-357</t>
  </si>
  <si>
    <t>EU35 หัวเทียน</t>
  </si>
  <si>
    <t>06-501-367</t>
  </si>
  <si>
    <t>EU35 ชุดลานสตาร์ท</t>
  </si>
  <si>
    <t>06-508-500</t>
  </si>
  <si>
    <t>ท่อเก็บเสียงเลื่อยโซ่ (ใช้กับรุ่น 5200,5800)</t>
  </si>
  <si>
    <t>06-508-501</t>
  </si>
  <si>
    <t>ท่อเก็บเสียงเลื่อยโซ่ (ใช้กับรุ่น 070)</t>
  </si>
  <si>
    <t>34-103-001</t>
  </si>
  <si>
    <t>เครื่องสับต้นกล้วยขนาดเล็ก EUROX 1/3 Hp</t>
  </si>
  <si>
    <t>D23</t>
  </si>
  <si>
    <t>รวมทั้งหมด</t>
  </si>
  <si>
    <t>ทีมขาย</t>
  </si>
  <si>
    <t>เลขที่เอกสาร</t>
  </si>
  <si>
    <t>วันที่เอกสาร</t>
  </si>
  <si>
    <t>ชื่อลูกค้า</t>
  </si>
  <si>
    <t>คลัง</t>
  </si>
  <si>
    <t>จำนวน</t>
  </si>
  <si>
    <t>หน่วย</t>
  </si>
  <si>
    <t>รายละเอียดการคืน</t>
  </si>
  <si>
    <t>เหตุผลการคืน</t>
  </si>
  <si>
    <t>ฝ่ายขายร้านค้า ตจว.</t>
  </si>
  <si>
    <t>RN-66122050</t>
  </si>
  <si>
    <t>M-00264 - วิรัชวัสดุก่อสร้าง(SM TT PC)</t>
  </si>
  <si>
    <t>WP4</t>
  </si>
  <si>
    <t>ตัว</t>
  </si>
  <si>
    <t>สินค้าชำรุดสภาพดี AX</t>
  </si>
  <si>
    <t>มอเตอร์ซ็อตเสีย</t>
  </si>
</sst>
</file>

<file path=xl/styles.xml><?xml version="1.0" encoding="utf-8"?>
<styleSheet xmlns="http://schemas.openxmlformats.org/spreadsheetml/2006/main" xml:space="preserve">
  <numFmts count="2">
    <numFmt numFmtId="164" formatCode="#,##0.0"/>
    <numFmt numFmtId="165" formatCode="yyyy-mm-dd"/>
  </numFmts>
  <fonts count="6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  <font>
      <b val="0"/>
      <i val="0"/>
      <strike val="0"/>
      <u val="none"/>
      <sz val="8"/>
      <color rgb="ff198754"/>
      <name val="Calibri"/>
    </font>
    <font>
      <b val="0"/>
      <i val="0"/>
      <strike val="0"/>
      <u val="none"/>
      <sz val="8"/>
      <color rgb="ff967102"/>
      <name val="Calibri"/>
    </font>
    <font>
      <b val="0"/>
      <i val="0"/>
      <strike val="0"/>
      <u val="none"/>
      <sz val="8"/>
      <color rgb="ffdc3545"/>
      <name val="Calibri"/>
    </font>
    <font>
      <b val="0"/>
      <i val="0"/>
      <strike val="0"/>
      <u val="none"/>
      <sz val="8"/>
      <color rgb="ff9a1118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ff3cd"/>
        <bgColor rgb="FF000000"/>
      </patternFill>
    </fill>
    <fill>
      <patternFill patternType="solid">
        <fgColor rgb="ffd1e7dd"/>
        <bgColor rgb="FF000000"/>
      </patternFill>
    </fill>
    <fill>
      <patternFill patternType="solid">
        <fgColor rgb="fff8d7da"/>
        <bgColor rgb="FF000000"/>
      </patternFill>
    </fill>
  </fills>
  <borders count="1">
    <border/>
  </borders>
  <cellStyleXfs count="1">
    <xf numFmtId="0" fontId="0" fillId="0" borderId="0"/>
  </cellStyleXfs>
  <cellXfs count="19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10" fillId="0" borderId="0" applyFont="1" applyNumberFormat="1" applyFill="0" applyBorder="0" applyAlignment="1">
      <alignment horizontal="right" vertical="center" textRotation="0" wrapText="false" shrinkToFit="false"/>
    </xf>
    <xf xfId="0" fontId="3" numFmtId="164" fillId="2" borderId="0" applyFont="1" applyNumberFormat="1" applyFill="1" applyBorder="0" applyAlignment="1">
      <alignment horizontal="center" vertical="center" textRotation="0" wrapText="false" shrinkToFit="false"/>
    </xf>
    <xf xfId="0" fontId="2" numFmtId="10" fillId="3" borderId="0" applyFont="1" applyNumberFormat="1" applyFill="1" applyBorder="0" applyAlignment="1">
      <alignment horizontal="center" vertical="center" textRotation="0" wrapText="false" shrinkToFit="false"/>
    </xf>
    <xf xfId="0" fontId="4" numFmtId="0" fillId="0" borderId="0" applyFont="1" applyNumberFormat="0" applyFill="0" applyBorder="0" applyAlignment="1">
      <alignment horizontal="center" vertical="center" textRotation="0" wrapText="false" shrinkToFit="false"/>
    </xf>
    <xf xfId="0" fontId="4" numFmtId="10" fillId="0" borderId="0" applyFont="1" applyNumberFormat="1" applyFill="0" applyBorder="0" applyAlignment="1">
      <alignment horizontal="center" vertical="center" textRotation="0" wrapText="false" shrinkToFit="false"/>
    </xf>
    <xf xfId="0" fontId="4" numFmtId="10" fillId="0" borderId="0" applyFont="1" applyNumberFormat="1" applyFill="0" applyBorder="0" applyAlignment="1">
      <alignment horizontal="right" vertical="center" textRotation="0" wrapText="false" shrinkToFit="false"/>
    </xf>
    <xf xfId="0" fontId="4" numFmtId="164" fillId="4" borderId="0" applyFont="1" applyNumberFormat="1" applyFill="1" applyBorder="0" applyAlignment="1">
      <alignment horizontal="center" vertical="center" textRotation="0" wrapText="false" shrinkToFit="false"/>
    </xf>
    <xf xfId="0" fontId="0" numFmtId="10" fillId="0" borderId="0" applyFont="0" applyNumberFormat="1" applyFill="0" applyBorder="0" applyAlignment="1">
      <alignment horizontal="right" vertical="center" textRotation="0" wrapText="false" shrinkToFit="false"/>
    </xf>
    <xf xfId="0" fontId="5" numFmtId="10" fillId="0" borderId="0" applyFont="1" applyNumberFormat="1" applyFill="0" applyBorder="0" applyAlignment="1">
      <alignment horizontal="center" vertical="center" textRotation="0" wrapText="false" shrinkToFit="false"/>
    </xf>
    <xf xfId="0" fontId="5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4" fillId="0" borderId="0" applyFont="1" applyNumberFormat="1" applyFill="0" applyBorder="0" applyAlignment="1">
      <alignment horizontal="right" vertical="center" textRotation="0" wrapText="false" shrinkToFit="false"/>
    </xf>
    <xf xfId="0" fontId="0" numFmtId="165" fillId="0" borderId="0" applyFont="0" applyNumberFormat="1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W30"/>
  <sheetViews>
    <sheetView tabSelected="1" workbookViewId="0" showGridLines="true" showRowColHeaders="1">
      <pane xSplit="4" ySplit="2" topLeftCell="E3" activePane="bottomRight" state="frozen"/>
      <selection pane="topRight"/>
      <selection pane="bottomLeft"/>
      <selection pane="bottomRight" activeCell="AW30" sqref="AW30"/>
    </sheetView>
  </sheetViews>
  <sheetFormatPr defaultRowHeight="14.4" defaultColWidth="13" outlineLevelRow="0" outlineLevelCol="0"/>
  <cols>
    <col min="1" max="1" width="6" customWidth="true" style="0"/>
    <col min="2" max="2" width="15" customWidth="true" style="0"/>
    <col min="3" max="3" width="40" customWidth="true" style="0"/>
    <col min="4" max="4" width="9" customWidth="true" style="0"/>
    <col min="5" max="5" width="12" customWidth="true" style="0"/>
    <col min="6" max="6" width="12" customWidth="true" style="0"/>
    <col min="7" max="7" width="12" customWidth="true" style="0"/>
    <col min="8" max="8" width="12" customWidth="true" style="0"/>
    <col min="9" max="9" width="12" customWidth="true" style="0"/>
    <col min="10" max="10" width="12" customWidth="true" style="0"/>
    <col min="11" max="11" width="12" customWidth="true" style="0"/>
    <col min="12" max="12" width="12" customWidth="true" style="0"/>
    <col min="13" max="13" width="12" customWidth="true" style="0"/>
    <col min="14" max="14" width="12" customWidth="true" style="0"/>
    <col min="15" max="15" width="12" customWidth="true" style="0"/>
    <col min="16" max="16" width="12" customWidth="true" style="0"/>
    <col min="17" max="17" width="12" customWidth="true" style="0"/>
    <col min="18" max="18" width="13" style="0"/>
    <col min="19" max="19" width="12" customWidth="true" style="0"/>
    <col min="20" max="20" width="15" customWidth="true" style="0"/>
    <col min="21" max="21" width="12" customWidth="true" style="0"/>
    <col min="22" max="22" width="15" customWidth="true" style="0"/>
    <col min="23" max="23" width="18" customWidth="true" style="0"/>
    <col min="24" max="24" width="15" customWidth="true" style="0"/>
    <col min="25" max="25" width="17" customWidth="true" style="0"/>
    <col min="26" max="26" width="12" customWidth="true" style="0"/>
    <col min="27" max="27" width="15" customWidth="true" style="0"/>
    <col min="28" max="28" width="12" customWidth="true" style="0"/>
    <col min="29" max="29" width="15" customWidth="true" style="0"/>
    <col min="30" max="30" width="18" customWidth="true" style="0"/>
    <col min="31" max="31" width="18" customWidth="true" style="0"/>
    <col min="32" max="32" width="18" customWidth="true" style="0"/>
    <col min="33" max="33" width="12" customWidth="true" style="0"/>
    <col min="34" max="34" width="12" customWidth="true" style="0"/>
    <col min="35" max="35" width="18" customWidth="true" style="0"/>
    <col min="36" max="36" width="15" customWidth="true" style="0"/>
    <col min="37" max="37" width="18" customWidth="true" style="0"/>
    <col min="38" max="38" width="15" customWidth="true" style="0"/>
    <col min="39" max="39" width="17" customWidth="true" style="0"/>
    <col min="40" max="40" width="12" customWidth="true" style="0"/>
    <col min="41" max="41" width="15" customWidth="true" style="0"/>
    <col min="42" max="42" width="12" customWidth="true" style="0"/>
    <col min="43" max="43" width="15" customWidth="true" style="0"/>
    <col min="44" max="44" width="15" customWidth="true" style="0"/>
    <col min="45" max="45" width="15" customWidth="true" style="0"/>
    <col min="46" max="46" width="15" customWidth="true" style="0"/>
    <col min="47" max="47" width="15" customWidth="true" style="0"/>
    <col min="48" max="48" width="15" customWidth="true" style="0"/>
    <col min="49" max="49" width="18" customWidth="true" style="0"/>
  </cols>
  <sheetData>
    <row r="1" spans="1:49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7</v>
      </c>
      <c r="H1" s="1"/>
      <c r="I1" s="1" t="s">
        <v>8</v>
      </c>
      <c r="J1" s="1"/>
      <c r="K1" s="1" t="s">
        <v>9</v>
      </c>
      <c r="L1" s="1"/>
      <c r="M1" s="1"/>
      <c r="N1" s="1" t="s">
        <v>11</v>
      </c>
      <c r="O1" s="1"/>
      <c r="P1" s="1" t="s">
        <v>14</v>
      </c>
      <c r="Q1" s="1"/>
      <c r="R1" s="1" t="s">
        <v>15</v>
      </c>
      <c r="S1" s="1"/>
      <c r="T1" s="1"/>
      <c r="U1" s="1"/>
      <c r="V1" s="1" t="s">
        <v>20</v>
      </c>
      <c r="W1" s="1"/>
      <c r="X1" s="1"/>
      <c r="Y1" s="1"/>
      <c r="Z1" s="1"/>
      <c r="AA1" s="1"/>
      <c r="AB1" s="1"/>
      <c r="AC1" s="1" t="s">
        <v>28</v>
      </c>
      <c r="AD1" s="1"/>
      <c r="AE1" s="1"/>
      <c r="AF1" s="1"/>
      <c r="AG1" s="1"/>
      <c r="AH1" s="1"/>
      <c r="AI1" s="1"/>
      <c r="AJ1" s="1" t="s">
        <v>36</v>
      </c>
      <c r="AK1" s="1"/>
      <c r="AL1" s="1"/>
      <c r="AM1" s="1"/>
      <c r="AN1" s="1"/>
      <c r="AO1" s="1"/>
      <c r="AP1" s="1"/>
      <c r="AQ1" s="1" t="s">
        <v>37</v>
      </c>
    </row>
    <row r="2" spans="1:49" customHeight="1" ht="36">
      <c r="E2" s="2" t="s">
        <v>5</v>
      </c>
      <c r="F2" s="2" t="s">
        <v>6</v>
      </c>
      <c r="G2" s="2" t="s">
        <v>5</v>
      </c>
      <c r="H2" s="2" t="s">
        <v>6</v>
      </c>
      <c r="I2" s="2" t="s">
        <v>5</v>
      </c>
      <c r="J2" s="2" t="s">
        <v>6</v>
      </c>
      <c r="K2" s="2" t="s">
        <v>5</v>
      </c>
      <c r="L2" s="2" t="s">
        <v>6</v>
      </c>
      <c r="M2" s="2" t="s">
        <v>10</v>
      </c>
      <c r="N2" s="2" t="s">
        <v>12</v>
      </c>
      <c r="O2" s="2" t="s">
        <v>13</v>
      </c>
      <c r="P2" s="2" t="s">
        <v>12</v>
      </c>
      <c r="Q2" s="2" t="s">
        <v>13</v>
      </c>
      <c r="R2" s="2" t="s">
        <v>16</v>
      </c>
      <c r="S2" s="2" t="s">
        <v>17</v>
      </c>
      <c r="T2" s="2" t="s">
        <v>18</v>
      </c>
      <c r="U2" s="2" t="s">
        <v>19</v>
      </c>
      <c r="V2" s="2" t="s">
        <v>21</v>
      </c>
      <c r="W2" s="2" t="s">
        <v>22</v>
      </c>
      <c r="X2" s="2" t="s">
        <v>23</v>
      </c>
      <c r="Y2" s="2" t="s">
        <v>24</v>
      </c>
      <c r="Z2" s="2" t="s">
        <v>25</v>
      </c>
      <c r="AA2" s="2" t="s">
        <v>26</v>
      </c>
      <c r="AB2" s="1" t="s">
        <v>27</v>
      </c>
      <c r="AC2" s="2" t="s">
        <v>29</v>
      </c>
      <c r="AD2" s="2" t="s">
        <v>30</v>
      </c>
      <c r="AE2" s="2" t="s">
        <v>31</v>
      </c>
      <c r="AF2" s="2" t="s">
        <v>32</v>
      </c>
      <c r="AG2" s="2" t="s">
        <v>33</v>
      </c>
      <c r="AH2" s="2" t="s">
        <v>34</v>
      </c>
      <c r="AI2" s="2" t="s">
        <v>35</v>
      </c>
      <c r="AJ2" s="2" t="s">
        <v>21</v>
      </c>
      <c r="AK2" s="2" t="s">
        <v>22</v>
      </c>
      <c r="AL2" s="2" t="s">
        <v>23</v>
      </c>
      <c r="AM2" s="2" t="s">
        <v>24</v>
      </c>
      <c r="AN2" s="2" t="s">
        <v>25</v>
      </c>
      <c r="AO2" s="2" t="s">
        <v>26</v>
      </c>
      <c r="AP2" s="1" t="s">
        <v>27</v>
      </c>
      <c r="AQ2" s="2" t="s">
        <v>38</v>
      </c>
      <c r="AR2" s="2" t="s">
        <v>39</v>
      </c>
      <c r="AS2" s="2" t="s">
        <v>40</v>
      </c>
      <c r="AT2" s="2" t="s">
        <v>41</v>
      </c>
      <c r="AU2" s="2" t="s">
        <v>42</v>
      </c>
      <c r="AV2" s="2" t="s">
        <v>34</v>
      </c>
      <c r="AW2" s="2" t="s">
        <v>35</v>
      </c>
    </row>
    <row r="3" spans="1:49">
      <c r="A3" s="3">
        <v>1</v>
      </c>
      <c r="B3" s="3" t="s">
        <v>43</v>
      </c>
      <c r="C3" t="s">
        <v>44</v>
      </c>
      <c r="D3" s="3" t="s">
        <v>45</v>
      </c>
      <c r="E3" s="4">
        <v>299.0</v>
      </c>
      <c r="F3" s="5">
        <v>777400.0</v>
      </c>
      <c r="G3" s="4">
        <v>300.0</v>
      </c>
      <c r="H3" s="5">
        <v>720000.0</v>
      </c>
      <c r="I3" s="6">
        <v>0</v>
      </c>
      <c r="J3" s="6">
        <v>0</v>
      </c>
      <c r="K3" s="4">
        <v>389.454534</v>
      </c>
      <c r="L3" s="5">
        <v>934690.8816</v>
      </c>
      <c r="M3" s="7">
        <v>0.22969185409458</v>
      </c>
      <c r="N3" s="4">
        <v>306.0</v>
      </c>
      <c r="O3" s="4">
        <v>27.818181</v>
      </c>
      <c r="P3" s="4">
        <v>51.0</v>
      </c>
      <c r="Q3" s="4">
        <v>26.0</v>
      </c>
      <c r="R3" s="4">
        <v>70.0</v>
      </c>
      <c r="S3" s="5">
        <v>168000.0</v>
      </c>
      <c r="T3" s="4">
        <v>54.833333</v>
      </c>
      <c r="U3" s="8">
        <v>1.2765957524413</v>
      </c>
      <c r="V3" s="5">
        <v>712685.46</v>
      </c>
      <c r="W3" s="5">
        <v>2329.0374509804</v>
      </c>
      <c r="X3" s="5">
        <v>984493.288</v>
      </c>
      <c r="Y3" s="5">
        <v>3217.2983267974</v>
      </c>
      <c r="Z3" s="5">
        <v>271807.828</v>
      </c>
      <c r="AA3" s="5">
        <v>888.26087581699</v>
      </c>
      <c r="AB3" s="9">
        <v>0.27608906156402</v>
      </c>
      <c r="AC3" s="4">
        <v>306.0</v>
      </c>
      <c r="AD3" s="6">
        <v>0</v>
      </c>
      <c r="AE3" s="6">
        <v>0</v>
      </c>
      <c r="AF3" s="6">
        <v>0</v>
      </c>
      <c r="AG3" s="3">
        <v>0</v>
      </c>
      <c r="AH3" s="6">
        <v>0</v>
      </c>
      <c r="AI3" s="6">
        <v>0</v>
      </c>
      <c r="AJ3" s="5">
        <v>114392.543</v>
      </c>
      <c r="AK3" s="5">
        <v>2242.9910392157</v>
      </c>
      <c r="AL3" s="5">
        <v>164474.703</v>
      </c>
      <c r="AM3" s="5">
        <v>3224.9941764706</v>
      </c>
      <c r="AN3" s="5">
        <v>50082.16</v>
      </c>
      <c r="AO3" s="5">
        <v>982.0031372549</v>
      </c>
      <c r="AP3" s="9">
        <v>0.3044976466685</v>
      </c>
      <c r="AQ3" s="4">
        <v>51.0</v>
      </c>
      <c r="AR3" s="6">
        <v>0</v>
      </c>
      <c r="AS3" s="6">
        <v>0</v>
      </c>
      <c r="AT3" s="6">
        <v>0</v>
      </c>
      <c r="AU3" s="3">
        <v>0</v>
      </c>
      <c r="AV3" s="6">
        <v>0</v>
      </c>
      <c r="AW3" s="6">
        <v>0</v>
      </c>
    </row>
    <row r="4" spans="1:49">
      <c r="A4" s="3">
        <v>2</v>
      </c>
      <c r="B4" s="3" t="s">
        <v>46</v>
      </c>
      <c r="C4" t="s">
        <v>47</v>
      </c>
      <c r="D4" s="3" t="s">
        <v>48</v>
      </c>
      <c r="E4" s="6">
        <v>0</v>
      </c>
      <c r="F4" s="6">
        <v>0</v>
      </c>
      <c r="G4" s="4">
        <v>1000.0</v>
      </c>
      <c r="H4" s="5">
        <v>570000.0</v>
      </c>
      <c r="I4" s="6">
        <v>0</v>
      </c>
      <c r="J4" s="6">
        <v>0</v>
      </c>
      <c r="K4" s="4">
        <v>1256.181808</v>
      </c>
      <c r="L4" s="5">
        <v>716023.63056</v>
      </c>
      <c r="M4" s="7">
        <v>0.20393688745411</v>
      </c>
      <c r="N4" s="4">
        <v>987.0</v>
      </c>
      <c r="O4" s="4">
        <v>89.727272</v>
      </c>
      <c r="P4" s="4">
        <v>11.0</v>
      </c>
      <c r="Q4" s="4">
        <v>11.0</v>
      </c>
      <c r="R4" s="6">
        <v>0</v>
      </c>
      <c r="S4" s="6">
        <v>0</v>
      </c>
      <c r="T4" s="4">
        <v>166.333333</v>
      </c>
      <c r="U4" s="10" t="s">
        <v>49</v>
      </c>
      <c r="V4" s="5">
        <v>525775.54</v>
      </c>
      <c r="W4" s="5">
        <v>532.70064842958</v>
      </c>
      <c r="X4" s="5">
        <v>657126.508</v>
      </c>
      <c r="Y4" s="5">
        <v>665.78166970618</v>
      </c>
      <c r="Z4" s="5">
        <v>131350.968</v>
      </c>
      <c r="AA4" s="5">
        <v>133.0810212766</v>
      </c>
      <c r="AB4" s="11">
        <v>0.19988688083787</v>
      </c>
      <c r="AC4" s="4">
        <v>987.0</v>
      </c>
      <c r="AD4" s="6">
        <v>0</v>
      </c>
      <c r="AE4" s="6">
        <v>0</v>
      </c>
      <c r="AF4" s="6">
        <v>0</v>
      </c>
      <c r="AG4" s="3">
        <v>0</v>
      </c>
      <c r="AH4" s="6">
        <v>0</v>
      </c>
      <c r="AI4" s="6">
        <v>0</v>
      </c>
      <c r="AJ4" s="5">
        <v>5859.82</v>
      </c>
      <c r="AK4" s="5">
        <v>532.71090909091</v>
      </c>
      <c r="AL4" s="5">
        <v>7364.48</v>
      </c>
      <c r="AM4" s="5">
        <v>669.49818181818</v>
      </c>
      <c r="AN4" s="5">
        <v>1504.66</v>
      </c>
      <c r="AO4" s="5">
        <v>136.78727272727</v>
      </c>
      <c r="AP4" s="11">
        <v>0.20431313548275</v>
      </c>
      <c r="AQ4" s="4">
        <v>11.0</v>
      </c>
      <c r="AR4" s="6">
        <v>0</v>
      </c>
      <c r="AS4" s="6">
        <v>0</v>
      </c>
      <c r="AT4" s="6">
        <v>0</v>
      </c>
      <c r="AU4" s="3">
        <v>0</v>
      </c>
      <c r="AV4" s="6">
        <v>0</v>
      </c>
      <c r="AW4" s="6">
        <v>0</v>
      </c>
    </row>
    <row r="5" spans="1:49">
      <c r="A5" s="3">
        <v>3</v>
      </c>
      <c r="B5" s="3" t="s">
        <v>50</v>
      </c>
      <c r="C5" t="s">
        <v>51</v>
      </c>
      <c r="D5" s="3" t="s">
        <v>48</v>
      </c>
      <c r="E5" s="6">
        <v>0</v>
      </c>
      <c r="F5" s="6">
        <v>0</v>
      </c>
      <c r="G5" s="4">
        <v>720.0</v>
      </c>
      <c r="H5" s="5">
        <v>424800.0</v>
      </c>
      <c r="I5" s="6">
        <v>0</v>
      </c>
      <c r="J5" s="6">
        <v>0</v>
      </c>
      <c r="K5" s="4">
        <v>898.545452</v>
      </c>
      <c r="L5" s="5">
        <v>530141.81668</v>
      </c>
      <c r="M5" s="7">
        <v>0.19870497547185</v>
      </c>
      <c r="N5" s="4">
        <v>706.0</v>
      </c>
      <c r="O5" s="4">
        <v>64.181818</v>
      </c>
      <c r="P5" s="4">
        <v>15.0</v>
      </c>
      <c r="Q5" s="4">
        <v>15.0</v>
      </c>
      <c r="R5" s="4">
        <v>1.0</v>
      </c>
      <c r="S5" s="5">
        <v>590.0</v>
      </c>
      <c r="T5" s="4">
        <v>120.166666</v>
      </c>
      <c r="U5" s="8">
        <v>0.0083217753582345</v>
      </c>
      <c r="V5" s="5">
        <v>389906.647</v>
      </c>
      <c r="W5" s="5">
        <v>552.27570396601</v>
      </c>
      <c r="X5" s="5">
        <v>542134.11</v>
      </c>
      <c r="Y5" s="5">
        <v>767.89533994334</v>
      </c>
      <c r="Z5" s="5">
        <v>152227.463</v>
      </c>
      <c r="AA5" s="5">
        <v>215.61963597734</v>
      </c>
      <c r="AB5" s="9">
        <v>0.28079299972474</v>
      </c>
      <c r="AC5" s="4">
        <v>706.0</v>
      </c>
      <c r="AD5" s="6">
        <v>0</v>
      </c>
      <c r="AE5" s="6">
        <v>0</v>
      </c>
      <c r="AF5" s="6">
        <v>0</v>
      </c>
      <c r="AG5" s="3">
        <v>0</v>
      </c>
      <c r="AH5" s="6">
        <v>0</v>
      </c>
      <c r="AI5" s="6">
        <v>0</v>
      </c>
      <c r="AJ5" s="5">
        <v>8271.015</v>
      </c>
      <c r="AK5" s="5">
        <v>551.401</v>
      </c>
      <c r="AL5" s="5">
        <v>10934.55</v>
      </c>
      <c r="AM5" s="5">
        <v>728.97</v>
      </c>
      <c r="AN5" s="5">
        <v>2663.535</v>
      </c>
      <c r="AO5" s="5">
        <v>177.569</v>
      </c>
      <c r="AP5" s="11">
        <v>0.24358889940601</v>
      </c>
      <c r="AQ5" s="4">
        <v>15.0</v>
      </c>
      <c r="AR5" s="6">
        <v>0</v>
      </c>
      <c r="AS5" s="6">
        <v>0</v>
      </c>
      <c r="AT5" s="6">
        <v>0</v>
      </c>
      <c r="AU5" s="3">
        <v>0</v>
      </c>
      <c r="AV5" s="6">
        <v>0</v>
      </c>
      <c r="AW5" s="6">
        <v>0</v>
      </c>
    </row>
    <row r="6" spans="1:49">
      <c r="A6" s="3">
        <v>4</v>
      </c>
      <c r="B6" s="3" t="s">
        <v>52</v>
      </c>
      <c r="C6" t="s">
        <v>53</v>
      </c>
      <c r="D6" s="3" t="s">
        <v>45</v>
      </c>
      <c r="E6" s="6">
        <v>0</v>
      </c>
      <c r="F6" s="6">
        <v>0</v>
      </c>
      <c r="G6" s="4">
        <v>5000.0</v>
      </c>
      <c r="H6" s="5">
        <v>375000.0</v>
      </c>
      <c r="I6" s="6">
        <v>0</v>
      </c>
      <c r="J6" s="6">
        <v>0</v>
      </c>
      <c r="K6" s="4">
        <v>4803.272726</v>
      </c>
      <c r="L6" s="5">
        <v>360245.45445</v>
      </c>
      <c r="M6" s="12">
        <v>-0.040956923585688</v>
      </c>
      <c r="N6" s="4">
        <v>3824.0</v>
      </c>
      <c r="O6" s="4">
        <v>343.090909</v>
      </c>
      <c r="P6" s="4">
        <v>133.0</v>
      </c>
      <c r="Q6" s="4">
        <v>75.0</v>
      </c>
      <c r="R6" s="4">
        <v>1840.0</v>
      </c>
      <c r="S6" s="5">
        <v>138000.0</v>
      </c>
      <c r="T6" s="4">
        <v>619.166666</v>
      </c>
      <c r="U6" s="8">
        <v>2.9717362077758</v>
      </c>
      <c r="V6" s="5">
        <v>263952.532</v>
      </c>
      <c r="W6" s="5">
        <v>69.025243723849</v>
      </c>
      <c r="X6" s="5">
        <v>407479.897</v>
      </c>
      <c r="Y6" s="5">
        <v>106.55855047071</v>
      </c>
      <c r="Z6" s="5">
        <v>143527.365</v>
      </c>
      <c r="AA6" s="5">
        <v>37.533306746862</v>
      </c>
      <c r="AB6" s="9">
        <v>0.35223176911719</v>
      </c>
      <c r="AC6" s="4">
        <v>3824.0</v>
      </c>
      <c r="AD6" s="6">
        <v>0</v>
      </c>
      <c r="AE6" s="6">
        <v>0</v>
      </c>
      <c r="AF6" s="6">
        <v>0</v>
      </c>
      <c r="AG6" s="3">
        <v>0</v>
      </c>
      <c r="AH6" s="6">
        <v>0</v>
      </c>
      <c r="AI6" s="6">
        <v>0</v>
      </c>
      <c r="AJ6" s="5">
        <v>9322.442</v>
      </c>
      <c r="AK6" s="5">
        <v>70.09354887218</v>
      </c>
      <c r="AL6" s="5">
        <v>12983.91</v>
      </c>
      <c r="AM6" s="5">
        <v>97.623383458647</v>
      </c>
      <c r="AN6" s="5">
        <v>3661.468</v>
      </c>
      <c r="AO6" s="5">
        <v>27.529834586466</v>
      </c>
      <c r="AP6" s="9">
        <v>0.282000414359</v>
      </c>
      <c r="AQ6" s="4">
        <v>133.0</v>
      </c>
      <c r="AR6" s="6">
        <v>0</v>
      </c>
      <c r="AS6" s="6">
        <v>0</v>
      </c>
      <c r="AT6" s="6">
        <v>0</v>
      </c>
      <c r="AU6" s="3">
        <v>0</v>
      </c>
      <c r="AV6" s="6">
        <v>0</v>
      </c>
      <c r="AW6" s="6">
        <v>0</v>
      </c>
    </row>
    <row r="7" spans="1:49">
      <c r="A7" s="3">
        <v>5</v>
      </c>
      <c r="B7" s="3" t="s">
        <v>54</v>
      </c>
      <c r="C7" t="s">
        <v>55</v>
      </c>
      <c r="D7" s="3" t="s">
        <v>45</v>
      </c>
      <c r="E7" s="6">
        <v>0</v>
      </c>
      <c r="F7" s="6">
        <v>0</v>
      </c>
      <c r="G7" s="4">
        <v>4000.0</v>
      </c>
      <c r="H7" s="5">
        <v>140000.0</v>
      </c>
      <c r="I7" s="6">
        <v>0</v>
      </c>
      <c r="J7" s="6">
        <v>0</v>
      </c>
      <c r="K7" s="4">
        <v>4700.181808</v>
      </c>
      <c r="L7" s="5">
        <v>164506.36328</v>
      </c>
      <c r="M7" s="7">
        <v>0.1489690902612</v>
      </c>
      <c r="N7" s="4">
        <v>3750.0</v>
      </c>
      <c r="O7" s="4">
        <v>335.727272</v>
      </c>
      <c r="P7" s="4">
        <v>189.0</v>
      </c>
      <c r="Q7" s="4">
        <v>124.0</v>
      </c>
      <c r="R7" s="4">
        <v>801.0</v>
      </c>
      <c r="S7" s="5">
        <v>28035.0</v>
      </c>
      <c r="T7" s="4">
        <v>609.666666</v>
      </c>
      <c r="U7" s="8">
        <v>1.3138326968987</v>
      </c>
      <c r="V7" s="5">
        <v>116850.12</v>
      </c>
      <c r="W7" s="5">
        <v>31.160032</v>
      </c>
      <c r="X7" s="5">
        <v>180517.307</v>
      </c>
      <c r="Y7" s="5">
        <v>48.137948533333</v>
      </c>
      <c r="Z7" s="5">
        <v>63667.187</v>
      </c>
      <c r="AA7" s="5">
        <v>16.977916533333</v>
      </c>
      <c r="AB7" s="9">
        <v>0.35269298029136</v>
      </c>
      <c r="AC7" s="4">
        <v>3750.0</v>
      </c>
      <c r="AD7" s="6">
        <v>0</v>
      </c>
      <c r="AE7" s="6">
        <v>0</v>
      </c>
      <c r="AF7" s="6">
        <v>0</v>
      </c>
      <c r="AG7" s="3">
        <v>0</v>
      </c>
      <c r="AH7" s="6">
        <v>0</v>
      </c>
      <c r="AI7" s="6">
        <v>0</v>
      </c>
      <c r="AJ7" s="5">
        <v>6182.23</v>
      </c>
      <c r="AK7" s="5">
        <v>32.710211640212</v>
      </c>
      <c r="AL7" s="5">
        <v>9139.346</v>
      </c>
      <c r="AM7" s="5">
        <v>48.356328042328</v>
      </c>
      <c r="AN7" s="5">
        <v>2957.116</v>
      </c>
      <c r="AO7" s="5">
        <v>15.646116402116</v>
      </c>
      <c r="AP7" s="9">
        <v>0.32355881919779</v>
      </c>
      <c r="AQ7" s="4">
        <v>189.0</v>
      </c>
      <c r="AR7" s="6">
        <v>0</v>
      </c>
      <c r="AS7" s="6">
        <v>0</v>
      </c>
      <c r="AT7" s="6">
        <v>0</v>
      </c>
      <c r="AU7" s="3">
        <v>0</v>
      </c>
      <c r="AV7" s="6">
        <v>0</v>
      </c>
      <c r="AW7" s="6">
        <v>0</v>
      </c>
    </row>
    <row r="8" spans="1:49">
      <c r="A8" s="3">
        <v>6</v>
      </c>
      <c r="B8" s="3" t="s">
        <v>56</v>
      </c>
      <c r="C8" t="s">
        <v>57</v>
      </c>
      <c r="D8" s="3" t="s">
        <v>45</v>
      </c>
      <c r="E8" s="6">
        <v>0</v>
      </c>
      <c r="F8" s="6">
        <v>0</v>
      </c>
      <c r="G8" s="4">
        <v>3000.0</v>
      </c>
      <c r="H8" s="5">
        <v>135000.0</v>
      </c>
      <c r="I8" s="6">
        <v>0</v>
      </c>
      <c r="J8" s="6">
        <v>0</v>
      </c>
      <c r="K8" s="4">
        <v>2372.36363</v>
      </c>
      <c r="L8" s="5">
        <v>106756.36335</v>
      </c>
      <c r="M8" s="12">
        <v>-0.26456162203094</v>
      </c>
      <c r="N8" s="4">
        <v>1851.0</v>
      </c>
      <c r="O8" s="4">
        <v>169.454545</v>
      </c>
      <c r="P8" s="4">
        <v>64.0</v>
      </c>
      <c r="Q8" s="4">
        <v>55.0</v>
      </c>
      <c r="R8" s="4">
        <v>1844.0</v>
      </c>
      <c r="S8" s="5">
        <v>82980.0</v>
      </c>
      <c r="T8" s="4">
        <v>279.0</v>
      </c>
      <c r="U8" s="13">
        <v>6.6093189964158</v>
      </c>
      <c r="V8" s="5">
        <v>75456.645</v>
      </c>
      <c r="W8" s="5">
        <v>40.765340356564</v>
      </c>
      <c r="X8" s="5">
        <v>167944.751</v>
      </c>
      <c r="Y8" s="5">
        <v>90.731902215019</v>
      </c>
      <c r="Z8" s="5">
        <v>92488.106</v>
      </c>
      <c r="AA8" s="5">
        <v>49.966561858455</v>
      </c>
      <c r="AB8" s="9">
        <v>0.55070554720701</v>
      </c>
      <c r="AC8" s="4">
        <v>1851.0</v>
      </c>
      <c r="AD8" s="6">
        <v>0</v>
      </c>
      <c r="AE8" s="6">
        <v>0</v>
      </c>
      <c r="AF8" s="6">
        <v>0</v>
      </c>
      <c r="AG8" s="3">
        <v>0</v>
      </c>
      <c r="AH8" s="6">
        <v>0</v>
      </c>
      <c r="AI8" s="6">
        <v>0</v>
      </c>
      <c r="AJ8" s="5">
        <v>2691.599</v>
      </c>
      <c r="AK8" s="5">
        <v>42.056234375</v>
      </c>
      <c r="AL8" s="5">
        <v>4718.021</v>
      </c>
      <c r="AM8" s="5">
        <v>73.719078125</v>
      </c>
      <c r="AN8" s="5">
        <v>2026.422</v>
      </c>
      <c r="AO8" s="5">
        <v>31.66284375</v>
      </c>
      <c r="AP8" s="9">
        <v>0.42950677837169</v>
      </c>
      <c r="AQ8" s="4">
        <v>64.0</v>
      </c>
      <c r="AR8" s="6">
        <v>0</v>
      </c>
      <c r="AS8" s="6">
        <v>0</v>
      </c>
      <c r="AT8" s="6">
        <v>0</v>
      </c>
      <c r="AU8" s="3">
        <v>0</v>
      </c>
      <c r="AV8" s="6">
        <v>0</v>
      </c>
      <c r="AW8" s="6">
        <v>0</v>
      </c>
    </row>
    <row r="9" spans="1:49">
      <c r="A9" s="3">
        <v>7</v>
      </c>
      <c r="B9" s="3" t="s">
        <v>58</v>
      </c>
      <c r="C9" t="s">
        <v>59</v>
      </c>
      <c r="D9" s="3" t="s">
        <v>45</v>
      </c>
      <c r="E9" s="6">
        <v>0</v>
      </c>
      <c r="F9" s="6">
        <v>0</v>
      </c>
      <c r="G9" s="4">
        <v>2000.0</v>
      </c>
      <c r="H9" s="5">
        <v>110000.0</v>
      </c>
      <c r="I9" s="6">
        <v>0</v>
      </c>
      <c r="J9" s="6">
        <v>0</v>
      </c>
      <c r="K9" s="4">
        <v>1963.818178</v>
      </c>
      <c r="L9" s="5">
        <v>108009.99979</v>
      </c>
      <c r="M9" s="12">
        <v>-0.018424221959718</v>
      </c>
      <c r="N9" s="4">
        <v>1563.0</v>
      </c>
      <c r="O9" s="4">
        <v>140.272727</v>
      </c>
      <c r="P9" s="4">
        <v>40.0</v>
      </c>
      <c r="Q9" s="4">
        <v>22.0</v>
      </c>
      <c r="R9" s="4">
        <v>1599.0</v>
      </c>
      <c r="S9" s="5">
        <v>87945.0</v>
      </c>
      <c r="T9" s="4">
        <v>230.166666</v>
      </c>
      <c r="U9" s="13">
        <v>6.9471397739236</v>
      </c>
      <c r="V9" s="5">
        <v>72646.06</v>
      </c>
      <c r="W9" s="5">
        <v>46.478605246321</v>
      </c>
      <c r="X9" s="5">
        <v>130620.354</v>
      </c>
      <c r="Y9" s="5">
        <v>83.570284069098</v>
      </c>
      <c r="Z9" s="5">
        <v>57974.294</v>
      </c>
      <c r="AA9" s="5">
        <v>37.091678822777</v>
      </c>
      <c r="AB9" s="9">
        <v>0.44383813260834</v>
      </c>
      <c r="AC9" s="4">
        <v>1563.0</v>
      </c>
      <c r="AD9" s="6">
        <v>0</v>
      </c>
      <c r="AE9" s="6">
        <v>0</v>
      </c>
      <c r="AF9" s="6">
        <v>0</v>
      </c>
      <c r="AG9" s="3">
        <v>0</v>
      </c>
      <c r="AH9" s="6">
        <v>0</v>
      </c>
      <c r="AI9" s="6">
        <v>0</v>
      </c>
      <c r="AJ9" s="5">
        <v>2056.072</v>
      </c>
      <c r="AK9" s="5">
        <v>51.4018</v>
      </c>
      <c r="AL9" s="5">
        <v>3472.144</v>
      </c>
      <c r="AM9" s="5">
        <v>86.8036</v>
      </c>
      <c r="AN9" s="5">
        <v>1416.072</v>
      </c>
      <c r="AO9" s="5">
        <v>35.4018</v>
      </c>
      <c r="AP9" s="9">
        <v>0.40783792377275</v>
      </c>
      <c r="AQ9" s="4">
        <v>40.0</v>
      </c>
      <c r="AR9" s="6">
        <v>0</v>
      </c>
      <c r="AS9" s="6">
        <v>0</v>
      </c>
      <c r="AT9" s="6">
        <v>0</v>
      </c>
      <c r="AU9" s="3">
        <v>0</v>
      </c>
      <c r="AV9" s="6">
        <v>0</v>
      </c>
      <c r="AW9" s="6">
        <v>0</v>
      </c>
    </row>
    <row r="10" spans="1:49">
      <c r="A10" s="3">
        <v>8</v>
      </c>
      <c r="B10" s="3" t="s">
        <v>60</v>
      </c>
      <c r="C10" t="s">
        <v>61</v>
      </c>
      <c r="D10" s="3" t="s">
        <v>48</v>
      </c>
      <c r="E10" s="6">
        <v>0</v>
      </c>
      <c r="F10" s="6">
        <v>0</v>
      </c>
      <c r="G10" s="4">
        <v>15.0</v>
      </c>
      <c r="H10" s="5">
        <v>40500.005</v>
      </c>
      <c r="I10" s="6">
        <v>0</v>
      </c>
      <c r="J10" s="6">
        <v>0</v>
      </c>
      <c r="K10" s="4">
        <v>14.0</v>
      </c>
      <c r="L10" s="5">
        <v>37800.014</v>
      </c>
      <c r="M10" s="12">
        <v>-0.071428571428571</v>
      </c>
      <c r="N10" s="4">
        <v>11.0</v>
      </c>
      <c r="O10" s="4">
        <v>1.0</v>
      </c>
      <c r="P10" s="6">
        <v>0</v>
      </c>
      <c r="Q10" s="6">
        <v>0</v>
      </c>
      <c r="R10" s="6">
        <v>0</v>
      </c>
      <c r="S10" s="6">
        <v>0</v>
      </c>
      <c r="T10" s="4">
        <v>1.833333</v>
      </c>
      <c r="U10" s="10" t="s">
        <v>49</v>
      </c>
      <c r="V10" s="5">
        <v>27476.65</v>
      </c>
      <c r="W10" s="5">
        <v>2497.8772727273</v>
      </c>
      <c r="X10" s="5">
        <v>35721.99</v>
      </c>
      <c r="Y10" s="5">
        <v>3247.4536363636</v>
      </c>
      <c r="Z10" s="5">
        <v>8245.34</v>
      </c>
      <c r="AA10" s="5">
        <v>749.57636363636</v>
      </c>
      <c r="AB10" s="11">
        <v>0.23081972756837</v>
      </c>
      <c r="AC10" s="4">
        <v>11.0</v>
      </c>
      <c r="AD10" s="6">
        <v>0</v>
      </c>
      <c r="AE10" s="6">
        <v>0</v>
      </c>
      <c r="AF10" s="6">
        <v>0</v>
      </c>
      <c r="AG10" s="3">
        <v>0</v>
      </c>
      <c r="AH10" s="6">
        <v>0</v>
      </c>
      <c r="AI10" s="6">
        <v>0</v>
      </c>
      <c r="AJ10" s="6">
        <v>0</v>
      </c>
      <c r="AK10" s="6">
        <v>0</v>
      </c>
      <c r="AL10" s="6">
        <v>0</v>
      </c>
      <c r="AM10" s="6">
        <v>0</v>
      </c>
      <c r="AN10" s="6">
        <v>0</v>
      </c>
      <c r="AO10" s="6">
        <v>0</v>
      </c>
      <c r="AP10" s="3">
        <v>0</v>
      </c>
      <c r="AQ10" s="6">
        <v>0</v>
      </c>
      <c r="AR10" s="6">
        <v>0</v>
      </c>
      <c r="AS10" s="6">
        <v>0</v>
      </c>
      <c r="AT10" s="6">
        <v>0</v>
      </c>
      <c r="AU10" s="3">
        <v>0</v>
      </c>
      <c r="AV10" s="6">
        <v>0</v>
      </c>
      <c r="AW10" s="6">
        <v>0</v>
      </c>
    </row>
    <row r="11" spans="1:49">
      <c r="A11" s="3">
        <v>9</v>
      </c>
      <c r="B11" s="3" t="s">
        <v>62</v>
      </c>
      <c r="C11" t="s">
        <v>63</v>
      </c>
      <c r="D11" s="3" t="s">
        <v>64</v>
      </c>
      <c r="E11" s="6">
        <v>0</v>
      </c>
      <c r="F11" s="6">
        <v>0</v>
      </c>
      <c r="G11" s="4">
        <v>250.0</v>
      </c>
      <c r="H11" s="5">
        <v>37500.0</v>
      </c>
      <c r="I11" s="6">
        <v>0</v>
      </c>
      <c r="J11" s="6">
        <v>0</v>
      </c>
      <c r="K11" s="4">
        <v>238.0</v>
      </c>
      <c r="L11" s="5">
        <v>35700.0</v>
      </c>
      <c r="M11" s="12">
        <v>-0.050420168067227</v>
      </c>
      <c r="N11" s="4">
        <v>188.0</v>
      </c>
      <c r="O11" s="4">
        <v>17.0</v>
      </c>
      <c r="P11" s="6">
        <v>0</v>
      </c>
      <c r="Q11" s="6">
        <v>0</v>
      </c>
      <c r="R11" s="4">
        <v>64.0</v>
      </c>
      <c r="S11" s="5">
        <v>9600.0</v>
      </c>
      <c r="T11" s="4">
        <v>31.0</v>
      </c>
      <c r="U11" s="8">
        <v>2.0645161290323</v>
      </c>
      <c r="V11" s="5">
        <v>27038.785</v>
      </c>
      <c r="W11" s="5">
        <v>143.82332446809</v>
      </c>
      <c r="X11" s="5">
        <v>29180.484</v>
      </c>
      <c r="Y11" s="5">
        <v>155.21534042553</v>
      </c>
      <c r="Z11" s="5">
        <v>2141.699</v>
      </c>
      <c r="AA11" s="5">
        <v>11.392015957447</v>
      </c>
      <c r="AB11" s="11">
        <v>0.073394910104987</v>
      </c>
      <c r="AC11" s="4">
        <v>188.0</v>
      </c>
      <c r="AD11" s="6">
        <v>0</v>
      </c>
      <c r="AE11" s="6">
        <v>0</v>
      </c>
      <c r="AF11" s="6">
        <v>0</v>
      </c>
      <c r="AG11" s="3">
        <v>0</v>
      </c>
      <c r="AH11" s="6">
        <v>0</v>
      </c>
      <c r="AI11" s="6">
        <v>0</v>
      </c>
      <c r="AJ11" s="6">
        <v>0</v>
      </c>
      <c r="AK11" s="6">
        <v>0</v>
      </c>
      <c r="AL11" s="6">
        <v>0</v>
      </c>
      <c r="AM11" s="6">
        <v>0</v>
      </c>
      <c r="AN11" s="6">
        <v>0</v>
      </c>
      <c r="AO11" s="6">
        <v>0</v>
      </c>
      <c r="AP11" s="3">
        <v>0</v>
      </c>
      <c r="AQ11" s="6">
        <v>0</v>
      </c>
      <c r="AR11" s="6">
        <v>0</v>
      </c>
      <c r="AS11" s="6">
        <v>0</v>
      </c>
      <c r="AT11" s="6">
        <v>0</v>
      </c>
      <c r="AU11" s="3">
        <v>0</v>
      </c>
      <c r="AV11" s="6">
        <v>0</v>
      </c>
      <c r="AW11" s="6">
        <v>0</v>
      </c>
    </row>
    <row r="12" spans="1:49">
      <c r="A12" s="3">
        <v>10</v>
      </c>
      <c r="B12" s="3" t="s">
        <v>65</v>
      </c>
      <c r="C12" t="s">
        <v>66</v>
      </c>
      <c r="D12" s="3" t="s">
        <v>64</v>
      </c>
      <c r="E12" s="6">
        <v>0</v>
      </c>
      <c r="F12" s="6">
        <v>0</v>
      </c>
      <c r="G12" s="4">
        <v>8.0</v>
      </c>
      <c r="H12" s="5">
        <v>14400.0</v>
      </c>
      <c r="I12" s="6">
        <v>0</v>
      </c>
      <c r="J12" s="6">
        <v>0</v>
      </c>
      <c r="K12" s="4">
        <v>10.181808</v>
      </c>
      <c r="L12" s="5">
        <v>18327.2544</v>
      </c>
      <c r="M12" s="7">
        <v>0.21428492857064</v>
      </c>
      <c r="N12" s="6">
        <v>0</v>
      </c>
      <c r="O12" s="4">
        <v>0.727272</v>
      </c>
      <c r="P12" s="6">
        <v>0</v>
      </c>
      <c r="Q12" s="6">
        <v>0</v>
      </c>
      <c r="R12" s="6">
        <v>0</v>
      </c>
      <c r="S12" s="6">
        <v>0</v>
      </c>
      <c r="T12" s="6">
        <v>0</v>
      </c>
      <c r="U12" s="10" t="s">
        <v>49</v>
      </c>
      <c r="V12" s="6">
        <v>0</v>
      </c>
      <c r="W12" s="6">
        <v>0</v>
      </c>
      <c r="X12" s="5">
        <v>1981.31</v>
      </c>
      <c r="Y12" s="6">
        <v>0</v>
      </c>
      <c r="Z12" s="5">
        <v>1981.31</v>
      </c>
      <c r="AA12" s="6">
        <v>0</v>
      </c>
      <c r="AB12" s="9">
        <v>1.0</v>
      </c>
      <c r="AC12" s="6">
        <v>0</v>
      </c>
      <c r="AD12" s="6">
        <v>0</v>
      </c>
      <c r="AE12" s="6">
        <v>0</v>
      </c>
      <c r="AF12" s="6">
        <v>0</v>
      </c>
      <c r="AG12" s="3">
        <v>0</v>
      </c>
      <c r="AH12" s="6">
        <v>0</v>
      </c>
      <c r="AI12" s="6">
        <v>0</v>
      </c>
      <c r="AJ12" s="6">
        <v>0</v>
      </c>
      <c r="AK12" s="6">
        <v>0</v>
      </c>
      <c r="AL12" s="6">
        <v>0</v>
      </c>
      <c r="AM12" s="6">
        <v>0</v>
      </c>
      <c r="AN12" s="6">
        <v>0</v>
      </c>
      <c r="AO12" s="6">
        <v>0</v>
      </c>
      <c r="AP12" s="3">
        <v>0</v>
      </c>
      <c r="AQ12" s="6">
        <v>0</v>
      </c>
      <c r="AR12" s="6">
        <v>0</v>
      </c>
      <c r="AS12" s="6">
        <v>0</v>
      </c>
      <c r="AT12" s="6">
        <v>0</v>
      </c>
      <c r="AU12" s="3">
        <v>0</v>
      </c>
      <c r="AV12" s="6">
        <v>0</v>
      </c>
      <c r="AW12" s="6">
        <v>0</v>
      </c>
    </row>
    <row r="13" spans="1:49">
      <c r="A13" s="3">
        <v>11</v>
      </c>
      <c r="B13" s="3" t="s">
        <v>67</v>
      </c>
      <c r="C13" t="s">
        <v>68</v>
      </c>
      <c r="D13" s="3" t="s">
        <v>48</v>
      </c>
      <c r="E13" s="4">
        <v>20.0</v>
      </c>
      <c r="F13" s="5">
        <v>5350.0</v>
      </c>
      <c r="G13" s="4">
        <v>80.0</v>
      </c>
      <c r="H13" s="5">
        <v>11200.0</v>
      </c>
      <c r="I13" s="6">
        <v>0</v>
      </c>
      <c r="J13" s="6">
        <v>0</v>
      </c>
      <c r="K13" s="4">
        <v>16.545452</v>
      </c>
      <c r="L13" s="5">
        <v>2316.36328</v>
      </c>
      <c r="M13" s="12">
        <v>-3.8351655790365</v>
      </c>
      <c r="N13" s="4">
        <v>13.0</v>
      </c>
      <c r="O13" s="4">
        <v>1.181818</v>
      </c>
      <c r="P13" s="6">
        <v>0</v>
      </c>
      <c r="Q13" s="6">
        <v>0</v>
      </c>
      <c r="R13" s="4">
        <v>70.0</v>
      </c>
      <c r="S13" s="5">
        <v>9800.0</v>
      </c>
      <c r="T13" s="4">
        <v>2.166666</v>
      </c>
      <c r="U13" s="13">
        <v>32.307702248524</v>
      </c>
      <c r="V13" s="5">
        <v>2177.57</v>
      </c>
      <c r="W13" s="5">
        <v>167.50538461538</v>
      </c>
      <c r="X13" s="5">
        <v>3364.49</v>
      </c>
      <c r="Y13" s="5">
        <v>258.80692307692</v>
      </c>
      <c r="Z13" s="5">
        <v>1186.92</v>
      </c>
      <c r="AA13" s="5">
        <v>91.301538461538</v>
      </c>
      <c r="AB13" s="9">
        <v>0.35277857862559</v>
      </c>
      <c r="AC13" s="4">
        <v>13.0</v>
      </c>
      <c r="AD13" s="6">
        <v>0</v>
      </c>
      <c r="AE13" s="6">
        <v>0</v>
      </c>
      <c r="AF13" s="6">
        <v>0</v>
      </c>
      <c r="AG13" s="3">
        <v>0</v>
      </c>
      <c r="AH13" s="6">
        <v>0</v>
      </c>
      <c r="AI13" s="6">
        <v>0</v>
      </c>
      <c r="AJ13" s="6">
        <v>0</v>
      </c>
      <c r="AK13" s="6">
        <v>0</v>
      </c>
      <c r="AL13" s="6">
        <v>0</v>
      </c>
      <c r="AM13" s="6">
        <v>0</v>
      </c>
      <c r="AN13" s="6">
        <v>0</v>
      </c>
      <c r="AO13" s="6">
        <v>0</v>
      </c>
      <c r="AP13" s="3">
        <v>0</v>
      </c>
      <c r="AQ13" s="6">
        <v>0</v>
      </c>
      <c r="AR13" s="6">
        <v>0</v>
      </c>
      <c r="AS13" s="6">
        <v>0</v>
      </c>
      <c r="AT13" s="6">
        <v>0</v>
      </c>
      <c r="AU13" s="3">
        <v>0</v>
      </c>
      <c r="AV13" s="6">
        <v>0</v>
      </c>
      <c r="AW13" s="6">
        <v>0</v>
      </c>
    </row>
    <row r="14" spans="1:49">
      <c r="A14" s="3">
        <v>12</v>
      </c>
      <c r="B14" s="3" t="s">
        <v>69</v>
      </c>
      <c r="C14" t="s">
        <v>70</v>
      </c>
      <c r="D14" s="3" t="s">
        <v>48</v>
      </c>
      <c r="E14" s="6">
        <v>0</v>
      </c>
      <c r="F14" s="6">
        <v>0</v>
      </c>
      <c r="G14" s="4">
        <v>260.0</v>
      </c>
      <c r="H14" s="5">
        <v>5200.0</v>
      </c>
      <c r="I14" s="6">
        <v>0</v>
      </c>
      <c r="J14" s="6">
        <v>0</v>
      </c>
      <c r="K14" s="4">
        <v>328.36363</v>
      </c>
      <c r="L14" s="5">
        <v>6567.2726</v>
      </c>
      <c r="M14" s="7">
        <v>0.20819489052426</v>
      </c>
      <c r="N14" s="4">
        <v>258.0</v>
      </c>
      <c r="O14" s="4">
        <v>23.454545</v>
      </c>
      <c r="P14" s="6">
        <v>0</v>
      </c>
      <c r="Q14" s="6">
        <v>0</v>
      </c>
      <c r="R14" s="4">
        <v>2.0</v>
      </c>
      <c r="S14" s="5">
        <v>40.0</v>
      </c>
      <c r="T14" s="4">
        <v>43.0</v>
      </c>
      <c r="U14" s="8">
        <v>0.046511627906977</v>
      </c>
      <c r="V14" s="5">
        <v>6112.536</v>
      </c>
      <c r="W14" s="5">
        <v>23.692</v>
      </c>
      <c r="X14" s="5">
        <v>6992.574</v>
      </c>
      <c r="Y14" s="5">
        <v>27.103</v>
      </c>
      <c r="Z14" s="5">
        <v>880.038</v>
      </c>
      <c r="AA14" s="5">
        <v>3.411</v>
      </c>
      <c r="AB14" s="11">
        <v>0.12585322658008</v>
      </c>
      <c r="AC14" s="4">
        <v>258.0</v>
      </c>
      <c r="AD14" s="6">
        <v>0</v>
      </c>
      <c r="AE14" s="6">
        <v>0</v>
      </c>
      <c r="AF14" s="6">
        <v>0</v>
      </c>
      <c r="AG14" s="3">
        <v>0</v>
      </c>
      <c r="AH14" s="6">
        <v>0</v>
      </c>
      <c r="AI14" s="6">
        <v>0</v>
      </c>
      <c r="AJ14" s="6">
        <v>0</v>
      </c>
      <c r="AK14" s="6">
        <v>0</v>
      </c>
      <c r="AL14" s="6">
        <v>0</v>
      </c>
      <c r="AM14" s="6">
        <v>0</v>
      </c>
      <c r="AN14" s="6">
        <v>0</v>
      </c>
      <c r="AO14" s="6">
        <v>0</v>
      </c>
      <c r="AP14" s="3">
        <v>0</v>
      </c>
      <c r="AQ14" s="6">
        <v>0</v>
      </c>
      <c r="AR14" s="6">
        <v>0</v>
      </c>
      <c r="AS14" s="6">
        <v>0</v>
      </c>
      <c r="AT14" s="6">
        <v>0</v>
      </c>
      <c r="AU14" s="3">
        <v>0</v>
      </c>
      <c r="AV14" s="6">
        <v>0</v>
      </c>
      <c r="AW14" s="6">
        <v>0</v>
      </c>
    </row>
    <row r="15" spans="1:49">
      <c r="A15" s="3">
        <v>13</v>
      </c>
      <c r="B15" s="3" t="s">
        <v>71</v>
      </c>
      <c r="C15" t="s">
        <v>72</v>
      </c>
      <c r="D15" s="3" t="s">
        <v>48</v>
      </c>
      <c r="E15" s="6">
        <v>0</v>
      </c>
      <c r="F15" s="6">
        <v>0</v>
      </c>
      <c r="G15" s="4">
        <v>30.0</v>
      </c>
      <c r="H15" s="5">
        <v>4500.0</v>
      </c>
      <c r="I15" s="6">
        <v>0</v>
      </c>
      <c r="J15" s="6">
        <v>0</v>
      </c>
      <c r="K15" s="4">
        <v>6.36363</v>
      </c>
      <c r="L15" s="5">
        <v>954.5445</v>
      </c>
      <c r="M15" s="12">
        <v>-3.7142904285761</v>
      </c>
      <c r="N15" s="4">
        <v>5.0</v>
      </c>
      <c r="O15" s="4">
        <v>0.454545</v>
      </c>
      <c r="P15" s="4">
        <v>1.0</v>
      </c>
      <c r="Q15" s="4">
        <v>1.0</v>
      </c>
      <c r="R15" s="4">
        <v>17.0</v>
      </c>
      <c r="S15" s="5">
        <v>2550.0</v>
      </c>
      <c r="T15" s="4">
        <v>0.166666</v>
      </c>
      <c r="U15" s="13">
        <v>102.00040800163</v>
      </c>
      <c r="V15" s="5">
        <v>280.37</v>
      </c>
      <c r="W15" s="5">
        <v>56.074</v>
      </c>
      <c r="X15" s="5">
        <v>911.225</v>
      </c>
      <c r="Y15" s="5">
        <v>182.245</v>
      </c>
      <c r="Z15" s="5">
        <v>630.855</v>
      </c>
      <c r="AA15" s="5">
        <v>126.171</v>
      </c>
      <c r="AB15" s="9">
        <v>0.69231528985706</v>
      </c>
      <c r="AC15" s="4">
        <v>5.0</v>
      </c>
      <c r="AD15" s="6">
        <v>0</v>
      </c>
      <c r="AE15" s="6">
        <v>0</v>
      </c>
      <c r="AF15" s="6">
        <v>0</v>
      </c>
      <c r="AG15" s="3">
        <v>0</v>
      </c>
      <c r="AH15" s="6">
        <v>0</v>
      </c>
      <c r="AI15" s="6">
        <v>0</v>
      </c>
      <c r="AJ15" s="5">
        <v>140.19</v>
      </c>
      <c r="AK15" s="5">
        <v>140.19</v>
      </c>
      <c r="AL15" s="5">
        <v>187.5</v>
      </c>
      <c r="AM15" s="5">
        <v>187.5</v>
      </c>
      <c r="AN15" s="5">
        <v>47.31</v>
      </c>
      <c r="AO15" s="5">
        <v>47.31</v>
      </c>
      <c r="AP15" s="9">
        <v>0.25232</v>
      </c>
      <c r="AQ15" s="4">
        <v>1.0</v>
      </c>
      <c r="AR15" s="6">
        <v>0</v>
      </c>
      <c r="AS15" s="6">
        <v>0</v>
      </c>
      <c r="AT15" s="6">
        <v>0</v>
      </c>
      <c r="AU15" s="3">
        <v>0</v>
      </c>
      <c r="AV15" s="6">
        <v>0</v>
      </c>
      <c r="AW15" s="6">
        <v>0</v>
      </c>
    </row>
    <row r="16" spans="1:49">
      <c r="A16" s="3">
        <v>14</v>
      </c>
      <c r="B16" s="3" t="s">
        <v>73</v>
      </c>
      <c r="C16" t="s">
        <v>74</v>
      </c>
      <c r="D16" s="3" t="s">
        <v>48</v>
      </c>
      <c r="E16" s="6">
        <v>0</v>
      </c>
      <c r="F16" s="6">
        <v>0</v>
      </c>
      <c r="G16" s="4">
        <v>50.0</v>
      </c>
      <c r="H16" s="5">
        <v>4000.0</v>
      </c>
      <c r="I16" s="6">
        <v>0</v>
      </c>
      <c r="J16" s="6">
        <v>0</v>
      </c>
      <c r="K16" s="4">
        <v>2.545452</v>
      </c>
      <c r="L16" s="5">
        <v>203.63616</v>
      </c>
      <c r="M16" s="12">
        <v>-18.642876785734</v>
      </c>
      <c r="N16" s="4">
        <v>2.0</v>
      </c>
      <c r="O16" s="4">
        <v>0.181818</v>
      </c>
      <c r="P16" s="6">
        <v>0</v>
      </c>
      <c r="Q16" s="6">
        <v>0</v>
      </c>
      <c r="R16" s="4">
        <v>50.0</v>
      </c>
      <c r="S16" s="5">
        <v>4000.0</v>
      </c>
      <c r="T16" s="4">
        <v>0.333333</v>
      </c>
      <c r="U16" s="13">
        <v>150.00015000015</v>
      </c>
      <c r="V16" s="6">
        <v>0</v>
      </c>
      <c r="W16" s="5">
        <v>0.0</v>
      </c>
      <c r="X16" s="5">
        <v>467.28</v>
      </c>
      <c r="Y16" s="5">
        <v>233.64</v>
      </c>
      <c r="Z16" s="5">
        <v>467.28</v>
      </c>
      <c r="AA16" s="5">
        <v>233.64</v>
      </c>
      <c r="AB16" s="9">
        <v>1.0</v>
      </c>
      <c r="AC16" s="4">
        <v>2.0</v>
      </c>
      <c r="AD16" s="6">
        <v>0</v>
      </c>
      <c r="AE16" s="6">
        <v>0</v>
      </c>
      <c r="AF16" s="6">
        <v>0</v>
      </c>
      <c r="AG16" s="3">
        <v>0</v>
      </c>
      <c r="AH16" s="6">
        <v>0</v>
      </c>
      <c r="AI16" s="6">
        <v>0</v>
      </c>
      <c r="AJ16" s="6">
        <v>0</v>
      </c>
      <c r="AK16" s="6">
        <v>0</v>
      </c>
      <c r="AL16" s="6">
        <v>0</v>
      </c>
      <c r="AM16" s="6">
        <v>0</v>
      </c>
      <c r="AN16" s="6">
        <v>0</v>
      </c>
      <c r="AO16" s="6">
        <v>0</v>
      </c>
      <c r="AP16" s="3">
        <v>0</v>
      </c>
      <c r="AQ16" s="6">
        <v>0</v>
      </c>
      <c r="AR16" s="6">
        <v>0</v>
      </c>
      <c r="AS16" s="6">
        <v>0</v>
      </c>
      <c r="AT16" s="6">
        <v>0</v>
      </c>
      <c r="AU16" s="3">
        <v>0</v>
      </c>
      <c r="AV16" s="6">
        <v>0</v>
      </c>
      <c r="AW16" s="6">
        <v>0</v>
      </c>
    </row>
    <row r="17" spans="1:49">
      <c r="A17" s="3">
        <v>15</v>
      </c>
      <c r="B17" s="3" t="s">
        <v>75</v>
      </c>
      <c r="C17" t="s">
        <v>76</v>
      </c>
      <c r="D17" s="3" t="s">
        <v>48</v>
      </c>
      <c r="E17" s="6">
        <v>0</v>
      </c>
      <c r="F17" s="6">
        <v>0</v>
      </c>
      <c r="G17" s="4">
        <v>20.0</v>
      </c>
      <c r="H17" s="5">
        <v>3600.02</v>
      </c>
      <c r="I17" s="6">
        <v>0</v>
      </c>
      <c r="J17" s="6">
        <v>0</v>
      </c>
      <c r="K17" s="6">
        <v>0</v>
      </c>
      <c r="L17" s="6">
        <v>0</v>
      </c>
      <c r="M17" s="14">
        <v>0</v>
      </c>
      <c r="N17" s="6">
        <v>0</v>
      </c>
      <c r="O17" s="6">
        <v>0</v>
      </c>
      <c r="P17" s="6">
        <v>0</v>
      </c>
      <c r="Q17" s="6">
        <v>0</v>
      </c>
      <c r="R17" s="4">
        <v>20.0</v>
      </c>
      <c r="S17" s="5">
        <v>3600.02</v>
      </c>
      <c r="T17" s="6">
        <v>0</v>
      </c>
      <c r="U17" s="10" t="s">
        <v>49</v>
      </c>
      <c r="V17" s="6">
        <v>0</v>
      </c>
      <c r="W17" s="6">
        <v>0</v>
      </c>
      <c r="X17" s="6">
        <v>0</v>
      </c>
      <c r="Y17" s="6">
        <v>0</v>
      </c>
      <c r="Z17" s="6">
        <v>0</v>
      </c>
      <c r="AA17" s="6">
        <v>0</v>
      </c>
      <c r="AB17" s="3">
        <v>0</v>
      </c>
      <c r="AC17" s="6">
        <v>0</v>
      </c>
      <c r="AD17" s="6">
        <v>0</v>
      </c>
      <c r="AE17" s="6">
        <v>0</v>
      </c>
      <c r="AF17" s="6">
        <v>0</v>
      </c>
      <c r="AG17" s="3">
        <v>0</v>
      </c>
      <c r="AH17" s="6">
        <v>0</v>
      </c>
      <c r="AI17" s="6">
        <v>0</v>
      </c>
      <c r="AJ17" s="6">
        <v>0</v>
      </c>
      <c r="AK17" s="6">
        <v>0</v>
      </c>
      <c r="AL17" s="6">
        <v>0</v>
      </c>
      <c r="AM17" s="6">
        <v>0</v>
      </c>
      <c r="AN17" s="6">
        <v>0</v>
      </c>
      <c r="AO17" s="6">
        <v>0</v>
      </c>
      <c r="AP17" s="3">
        <v>0</v>
      </c>
      <c r="AQ17" s="6">
        <v>0</v>
      </c>
      <c r="AR17" s="6">
        <v>0</v>
      </c>
      <c r="AS17" s="6">
        <v>0</v>
      </c>
      <c r="AT17" s="6">
        <v>0</v>
      </c>
      <c r="AU17" s="3">
        <v>0</v>
      </c>
      <c r="AV17" s="6">
        <v>0</v>
      </c>
      <c r="AW17" s="6">
        <v>0</v>
      </c>
    </row>
    <row r="18" spans="1:49">
      <c r="A18" s="3">
        <v>16</v>
      </c>
      <c r="B18" s="3" t="s">
        <v>77</v>
      </c>
      <c r="C18" t="s">
        <v>78</v>
      </c>
      <c r="D18" s="3" t="s">
        <v>48</v>
      </c>
      <c r="E18" s="6">
        <v>0</v>
      </c>
      <c r="F18" s="6">
        <v>0</v>
      </c>
      <c r="G18" s="4">
        <v>20.0</v>
      </c>
      <c r="H18" s="5">
        <v>3200.0</v>
      </c>
      <c r="I18" s="6">
        <v>0</v>
      </c>
      <c r="J18" s="6">
        <v>0</v>
      </c>
      <c r="K18" s="4">
        <v>2.545452</v>
      </c>
      <c r="L18" s="5">
        <v>407.27232</v>
      </c>
      <c r="M18" s="12">
        <v>-6.8571507142936</v>
      </c>
      <c r="N18" s="4">
        <v>2.0</v>
      </c>
      <c r="O18" s="4">
        <v>0.181818</v>
      </c>
      <c r="P18" s="6">
        <v>0</v>
      </c>
      <c r="Q18" s="6">
        <v>0</v>
      </c>
      <c r="R18" s="4">
        <v>19.0</v>
      </c>
      <c r="S18" s="5">
        <v>3040.0</v>
      </c>
      <c r="T18" s="4">
        <v>0.333333</v>
      </c>
      <c r="U18" s="13">
        <v>57.000057000057</v>
      </c>
      <c r="V18" s="5">
        <v>713.82</v>
      </c>
      <c r="W18" s="5">
        <v>356.91</v>
      </c>
      <c r="X18" s="5">
        <v>299.065</v>
      </c>
      <c r="Y18" s="5">
        <v>149.5325</v>
      </c>
      <c r="Z18" s="5">
        <v>-414.755</v>
      </c>
      <c r="AA18" s="5">
        <v>-207.3775</v>
      </c>
      <c r="AB18" s="15">
        <v>-1.3868389814923</v>
      </c>
      <c r="AC18" s="4">
        <v>2.0</v>
      </c>
      <c r="AD18" s="6">
        <v>0</v>
      </c>
      <c r="AE18" s="6">
        <v>0</v>
      </c>
      <c r="AF18" s="6">
        <v>0</v>
      </c>
      <c r="AG18" s="3">
        <v>0</v>
      </c>
      <c r="AH18" s="6">
        <v>0</v>
      </c>
      <c r="AI18" s="6">
        <v>0</v>
      </c>
      <c r="AJ18" s="6">
        <v>0</v>
      </c>
      <c r="AK18" s="6">
        <v>0</v>
      </c>
      <c r="AL18" s="6">
        <v>0</v>
      </c>
      <c r="AM18" s="6">
        <v>0</v>
      </c>
      <c r="AN18" s="6">
        <v>0</v>
      </c>
      <c r="AO18" s="6">
        <v>0</v>
      </c>
      <c r="AP18" s="3">
        <v>0</v>
      </c>
      <c r="AQ18" s="6">
        <v>0</v>
      </c>
      <c r="AR18" s="6">
        <v>0</v>
      </c>
      <c r="AS18" s="6">
        <v>0</v>
      </c>
      <c r="AT18" s="6">
        <v>0</v>
      </c>
      <c r="AU18" s="3">
        <v>0</v>
      </c>
      <c r="AV18" s="6">
        <v>0</v>
      </c>
      <c r="AW18" s="6">
        <v>0</v>
      </c>
    </row>
    <row r="19" spans="1:49">
      <c r="A19" s="3">
        <v>17</v>
      </c>
      <c r="B19" s="3" t="s">
        <v>79</v>
      </c>
      <c r="C19" t="s">
        <v>80</v>
      </c>
      <c r="D19" s="3" t="s">
        <v>48</v>
      </c>
      <c r="E19" s="6">
        <v>0</v>
      </c>
      <c r="F19" s="6">
        <v>0</v>
      </c>
      <c r="G19" s="4">
        <v>2.0</v>
      </c>
      <c r="H19" s="5">
        <v>3000.002</v>
      </c>
      <c r="I19" s="6">
        <v>0</v>
      </c>
      <c r="J19" s="6">
        <v>0</v>
      </c>
      <c r="K19" s="6">
        <v>0</v>
      </c>
      <c r="L19" s="6">
        <v>0</v>
      </c>
      <c r="M19" s="14">
        <v>0</v>
      </c>
      <c r="N19" s="6">
        <v>0</v>
      </c>
      <c r="O19" s="6">
        <v>0</v>
      </c>
      <c r="P19" s="6">
        <v>0</v>
      </c>
      <c r="Q19" s="6">
        <v>0</v>
      </c>
      <c r="R19" s="6">
        <v>0</v>
      </c>
      <c r="S19" s="6">
        <v>0</v>
      </c>
      <c r="T19" s="6">
        <v>0</v>
      </c>
      <c r="U19" s="10" t="s">
        <v>49</v>
      </c>
      <c r="V19" s="6">
        <v>0</v>
      </c>
      <c r="W19" s="6">
        <v>0</v>
      </c>
      <c r="X19" s="6">
        <v>0</v>
      </c>
      <c r="Y19" s="6">
        <v>0</v>
      </c>
      <c r="Z19" s="6">
        <v>0</v>
      </c>
      <c r="AA19" s="6">
        <v>0</v>
      </c>
      <c r="AB19" s="3">
        <v>0</v>
      </c>
      <c r="AC19" s="6">
        <v>0</v>
      </c>
      <c r="AD19" s="6">
        <v>0</v>
      </c>
      <c r="AE19" s="6">
        <v>0</v>
      </c>
      <c r="AF19" s="6">
        <v>0</v>
      </c>
      <c r="AG19" s="3">
        <v>0</v>
      </c>
      <c r="AH19" s="6">
        <v>0</v>
      </c>
      <c r="AI19" s="6">
        <v>0</v>
      </c>
      <c r="AJ19" s="6">
        <v>0</v>
      </c>
      <c r="AK19" s="6">
        <v>0</v>
      </c>
      <c r="AL19" s="6">
        <v>0</v>
      </c>
      <c r="AM19" s="6">
        <v>0</v>
      </c>
      <c r="AN19" s="6">
        <v>0</v>
      </c>
      <c r="AO19" s="6">
        <v>0</v>
      </c>
      <c r="AP19" s="3">
        <v>0</v>
      </c>
      <c r="AQ19" s="6">
        <v>0</v>
      </c>
      <c r="AR19" s="6">
        <v>0</v>
      </c>
      <c r="AS19" s="6">
        <v>0</v>
      </c>
      <c r="AT19" s="6">
        <v>0</v>
      </c>
      <c r="AU19" s="3">
        <v>0</v>
      </c>
      <c r="AV19" s="6">
        <v>0</v>
      </c>
      <c r="AW19" s="6">
        <v>0</v>
      </c>
    </row>
    <row r="20" spans="1:49">
      <c r="A20" s="3">
        <v>18</v>
      </c>
      <c r="B20" s="3" t="s">
        <v>81</v>
      </c>
      <c r="C20" t="s">
        <v>82</v>
      </c>
      <c r="D20" s="3" t="s">
        <v>48</v>
      </c>
      <c r="E20" s="6">
        <v>0</v>
      </c>
      <c r="F20" s="6">
        <v>0</v>
      </c>
      <c r="G20" s="4">
        <v>2.0</v>
      </c>
      <c r="H20" s="5">
        <v>3000.002</v>
      </c>
      <c r="I20" s="6">
        <v>0</v>
      </c>
      <c r="J20" s="6">
        <v>0</v>
      </c>
      <c r="K20" s="6">
        <v>0</v>
      </c>
      <c r="L20" s="6">
        <v>0</v>
      </c>
      <c r="M20" s="14">
        <v>0</v>
      </c>
      <c r="N20" s="6">
        <v>0</v>
      </c>
      <c r="O20" s="6">
        <v>0</v>
      </c>
      <c r="P20" s="6">
        <v>0</v>
      </c>
      <c r="Q20" s="6">
        <v>0</v>
      </c>
      <c r="R20" s="6">
        <v>0</v>
      </c>
      <c r="S20" s="6">
        <v>0</v>
      </c>
      <c r="T20" s="6">
        <v>0</v>
      </c>
      <c r="U20" s="10" t="s">
        <v>49</v>
      </c>
      <c r="V20" s="6">
        <v>0</v>
      </c>
      <c r="W20" s="6">
        <v>0</v>
      </c>
      <c r="X20" s="6">
        <v>0</v>
      </c>
      <c r="Y20" s="6">
        <v>0</v>
      </c>
      <c r="Z20" s="6">
        <v>0</v>
      </c>
      <c r="AA20" s="6">
        <v>0</v>
      </c>
      <c r="AB20" s="3">
        <v>0</v>
      </c>
      <c r="AC20" s="6">
        <v>0</v>
      </c>
      <c r="AD20" s="6">
        <v>0</v>
      </c>
      <c r="AE20" s="6">
        <v>0</v>
      </c>
      <c r="AF20" s="6">
        <v>0</v>
      </c>
      <c r="AG20" s="3">
        <v>0</v>
      </c>
      <c r="AH20" s="6">
        <v>0</v>
      </c>
      <c r="AI20" s="6">
        <v>0</v>
      </c>
      <c r="AJ20" s="6">
        <v>0</v>
      </c>
      <c r="AK20" s="6">
        <v>0</v>
      </c>
      <c r="AL20" s="6">
        <v>0</v>
      </c>
      <c r="AM20" s="6">
        <v>0</v>
      </c>
      <c r="AN20" s="6">
        <v>0</v>
      </c>
      <c r="AO20" s="6">
        <v>0</v>
      </c>
      <c r="AP20" s="3">
        <v>0</v>
      </c>
      <c r="AQ20" s="6">
        <v>0</v>
      </c>
      <c r="AR20" s="6">
        <v>0</v>
      </c>
      <c r="AS20" s="6">
        <v>0</v>
      </c>
      <c r="AT20" s="6">
        <v>0</v>
      </c>
      <c r="AU20" s="3">
        <v>0</v>
      </c>
      <c r="AV20" s="6">
        <v>0</v>
      </c>
      <c r="AW20" s="6">
        <v>0</v>
      </c>
    </row>
    <row r="21" spans="1:49">
      <c r="A21" s="3">
        <v>19</v>
      </c>
      <c r="B21" s="3" t="s">
        <v>83</v>
      </c>
      <c r="C21" t="s">
        <v>84</v>
      </c>
      <c r="D21" s="3" t="s">
        <v>48</v>
      </c>
      <c r="E21" s="6">
        <v>0</v>
      </c>
      <c r="F21" s="6">
        <v>0</v>
      </c>
      <c r="G21" s="4">
        <v>2.0</v>
      </c>
      <c r="H21" s="5">
        <v>2247.0</v>
      </c>
      <c r="I21" s="6">
        <v>0</v>
      </c>
      <c r="J21" s="6">
        <v>0</v>
      </c>
      <c r="K21" s="4">
        <v>2.545452</v>
      </c>
      <c r="L21" s="5">
        <v>2859.815322</v>
      </c>
      <c r="M21" s="7">
        <v>0.21428492857064</v>
      </c>
      <c r="N21" s="4">
        <v>2.0</v>
      </c>
      <c r="O21" s="4">
        <v>0.181818</v>
      </c>
      <c r="P21" s="6">
        <v>0</v>
      </c>
      <c r="Q21" s="6">
        <v>0</v>
      </c>
      <c r="R21" s="4">
        <v>11.0</v>
      </c>
      <c r="S21" s="5">
        <v>12358.5</v>
      </c>
      <c r="T21" s="6">
        <v>0</v>
      </c>
      <c r="U21" s="10" t="s">
        <v>49</v>
      </c>
      <c r="V21" s="5">
        <v>1399.33</v>
      </c>
      <c r="W21" s="5">
        <v>699.665</v>
      </c>
      <c r="X21" s="5">
        <v>2093.458</v>
      </c>
      <c r="Y21" s="5">
        <v>1046.729</v>
      </c>
      <c r="Z21" s="5">
        <v>694.128</v>
      </c>
      <c r="AA21" s="5">
        <v>347.064</v>
      </c>
      <c r="AB21" s="9">
        <v>0.33157006254723</v>
      </c>
      <c r="AC21" s="4">
        <v>2.0</v>
      </c>
      <c r="AD21" s="6">
        <v>0</v>
      </c>
      <c r="AE21" s="6">
        <v>0</v>
      </c>
      <c r="AF21" s="6">
        <v>0</v>
      </c>
      <c r="AG21" s="3">
        <v>0</v>
      </c>
      <c r="AH21" s="6">
        <v>0</v>
      </c>
      <c r="AI21" s="6">
        <v>0</v>
      </c>
      <c r="AJ21" s="6">
        <v>0</v>
      </c>
      <c r="AK21" s="6">
        <v>0</v>
      </c>
      <c r="AL21" s="6">
        <v>0</v>
      </c>
      <c r="AM21" s="6">
        <v>0</v>
      </c>
      <c r="AN21" s="6">
        <v>0</v>
      </c>
      <c r="AO21" s="6">
        <v>0</v>
      </c>
      <c r="AP21" s="3">
        <v>0</v>
      </c>
      <c r="AQ21" s="6">
        <v>0</v>
      </c>
      <c r="AR21" s="6">
        <v>0</v>
      </c>
      <c r="AS21" s="6">
        <v>0</v>
      </c>
      <c r="AT21" s="6">
        <v>0</v>
      </c>
      <c r="AU21" s="3">
        <v>0</v>
      </c>
      <c r="AV21" s="6">
        <v>0</v>
      </c>
      <c r="AW21" s="6">
        <v>0</v>
      </c>
    </row>
    <row r="22" spans="1:49">
      <c r="A22" s="3">
        <v>20</v>
      </c>
      <c r="B22" s="3" t="s">
        <v>85</v>
      </c>
      <c r="C22" t="s">
        <v>86</v>
      </c>
      <c r="D22" s="3" t="s">
        <v>48</v>
      </c>
      <c r="E22" s="6">
        <v>0</v>
      </c>
      <c r="F22" s="6">
        <v>0</v>
      </c>
      <c r="G22" s="4">
        <v>10.0</v>
      </c>
      <c r="H22" s="5">
        <v>1200.01</v>
      </c>
      <c r="I22" s="6">
        <v>0</v>
      </c>
      <c r="J22" s="6">
        <v>0</v>
      </c>
      <c r="K22" s="6">
        <v>0</v>
      </c>
      <c r="L22" s="6">
        <v>0</v>
      </c>
      <c r="M22" s="14">
        <v>0</v>
      </c>
      <c r="N22" s="6">
        <v>0</v>
      </c>
      <c r="O22" s="6">
        <v>0</v>
      </c>
      <c r="P22" s="6">
        <v>0</v>
      </c>
      <c r="Q22" s="6">
        <v>0</v>
      </c>
      <c r="R22" s="4">
        <v>6.0</v>
      </c>
      <c r="S22" s="5">
        <v>720.006</v>
      </c>
      <c r="T22" s="6">
        <v>0</v>
      </c>
      <c r="U22" s="10" t="s">
        <v>49</v>
      </c>
      <c r="V22" s="6">
        <v>0</v>
      </c>
      <c r="W22" s="6">
        <v>0</v>
      </c>
      <c r="X22" s="6">
        <v>0</v>
      </c>
      <c r="Y22" s="6">
        <v>0</v>
      </c>
      <c r="Z22" s="6">
        <v>0</v>
      </c>
      <c r="AA22" s="6">
        <v>0</v>
      </c>
      <c r="AB22" s="3">
        <v>0</v>
      </c>
      <c r="AC22" s="6">
        <v>0</v>
      </c>
      <c r="AD22" s="6">
        <v>0</v>
      </c>
      <c r="AE22" s="6">
        <v>0</v>
      </c>
      <c r="AF22" s="6">
        <v>0</v>
      </c>
      <c r="AG22" s="3">
        <v>0</v>
      </c>
      <c r="AH22" s="6">
        <v>0</v>
      </c>
      <c r="AI22" s="6">
        <v>0</v>
      </c>
      <c r="AJ22" s="6">
        <v>0</v>
      </c>
      <c r="AK22" s="6">
        <v>0</v>
      </c>
      <c r="AL22" s="6">
        <v>0</v>
      </c>
      <c r="AM22" s="6">
        <v>0</v>
      </c>
      <c r="AN22" s="6">
        <v>0</v>
      </c>
      <c r="AO22" s="6">
        <v>0</v>
      </c>
      <c r="AP22" s="3">
        <v>0</v>
      </c>
      <c r="AQ22" s="6">
        <v>0</v>
      </c>
      <c r="AR22" s="6">
        <v>0</v>
      </c>
      <c r="AS22" s="6">
        <v>0</v>
      </c>
      <c r="AT22" s="6">
        <v>0</v>
      </c>
      <c r="AU22" s="3">
        <v>0</v>
      </c>
      <c r="AV22" s="6">
        <v>0</v>
      </c>
      <c r="AW22" s="6">
        <v>0</v>
      </c>
    </row>
    <row r="23" spans="1:49">
      <c r="A23" s="3">
        <v>21</v>
      </c>
      <c r="B23" s="3" t="s">
        <v>87</v>
      </c>
      <c r="C23" t="s">
        <v>88</v>
      </c>
      <c r="D23" s="3" t="s">
        <v>48</v>
      </c>
      <c r="E23" s="6">
        <v>0</v>
      </c>
      <c r="F23" s="6">
        <v>0</v>
      </c>
      <c r="G23" s="4">
        <v>30.0</v>
      </c>
      <c r="H23" s="5">
        <v>810.0</v>
      </c>
      <c r="I23" s="6">
        <v>0</v>
      </c>
      <c r="J23" s="6">
        <v>0</v>
      </c>
      <c r="K23" s="6">
        <v>0</v>
      </c>
      <c r="L23" s="6">
        <v>0</v>
      </c>
      <c r="M23" s="14">
        <v>0</v>
      </c>
      <c r="N23" s="6">
        <v>0</v>
      </c>
      <c r="O23" s="6">
        <v>0</v>
      </c>
      <c r="P23" s="6">
        <v>0</v>
      </c>
      <c r="Q23" s="6">
        <v>0</v>
      </c>
      <c r="R23" s="4">
        <v>30.0</v>
      </c>
      <c r="S23" s="5">
        <v>810.0</v>
      </c>
      <c r="T23" s="6">
        <v>0</v>
      </c>
      <c r="U23" s="10" t="s">
        <v>49</v>
      </c>
      <c r="V23" s="6">
        <v>0</v>
      </c>
      <c r="W23" s="6">
        <v>0</v>
      </c>
      <c r="X23" s="6">
        <v>0</v>
      </c>
      <c r="Y23" s="6">
        <v>0</v>
      </c>
      <c r="Z23" s="6">
        <v>0</v>
      </c>
      <c r="AA23" s="6">
        <v>0</v>
      </c>
      <c r="AB23" s="3">
        <v>0</v>
      </c>
      <c r="AC23" s="6">
        <v>0</v>
      </c>
      <c r="AD23" s="6">
        <v>0</v>
      </c>
      <c r="AE23" s="6">
        <v>0</v>
      </c>
      <c r="AF23" s="6">
        <v>0</v>
      </c>
      <c r="AG23" s="3">
        <v>0</v>
      </c>
      <c r="AH23" s="6">
        <v>0</v>
      </c>
      <c r="AI23" s="6">
        <v>0</v>
      </c>
      <c r="AJ23" s="6">
        <v>0</v>
      </c>
      <c r="AK23" s="6">
        <v>0</v>
      </c>
      <c r="AL23" s="6">
        <v>0</v>
      </c>
      <c r="AM23" s="6">
        <v>0</v>
      </c>
      <c r="AN23" s="6">
        <v>0</v>
      </c>
      <c r="AO23" s="6">
        <v>0</v>
      </c>
      <c r="AP23" s="3">
        <v>0</v>
      </c>
      <c r="AQ23" s="6">
        <v>0</v>
      </c>
      <c r="AR23" s="6">
        <v>0</v>
      </c>
      <c r="AS23" s="6">
        <v>0</v>
      </c>
      <c r="AT23" s="6">
        <v>0</v>
      </c>
      <c r="AU23" s="3">
        <v>0</v>
      </c>
      <c r="AV23" s="6">
        <v>0</v>
      </c>
      <c r="AW23" s="6">
        <v>0</v>
      </c>
    </row>
    <row r="24" spans="1:49">
      <c r="A24" s="3">
        <v>22</v>
      </c>
      <c r="B24" s="3" t="s">
        <v>89</v>
      </c>
      <c r="C24" t="s">
        <v>90</v>
      </c>
      <c r="D24" s="3" t="s">
        <v>48</v>
      </c>
      <c r="E24" s="6">
        <v>0</v>
      </c>
      <c r="F24" s="6">
        <v>0</v>
      </c>
      <c r="G24" s="4">
        <v>10.0</v>
      </c>
      <c r="H24" s="5">
        <v>800.0</v>
      </c>
      <c r="I24" s="6">
        <v>0</v>
      </c>
      <c r="J24" s="6">
        <v>0</v>
      </c>
      <c r="K24" s="6">
        <v>0</v>
      </c>
      <c r="L24" s="6">
        <v>0</v>
      </c>
      <c r="M24" s="14">
        <v>0</v>
      </c>
      <c r="N24" s="6">
        <v>0</v>
      </c>
      <c r="O24" s="6">
        <v>0</v>
      </c>
      <c r="P24" s="6">
        <v>0</v>
      </c>
      <c r="Q24" s="6">
        <v>0</v>
      </c>
      <c r="R24" s="4">
        <v>10.0</v>
      </c>
      <c r="S24" s="5">
        <v>800.0</v>
      </c>
      <c r="T24" s="6">
        <v>0</v>
      </c>
      <c r="U24" s="10" t="s">
        <v>49</v>
      </c>
      <c r="V24" s="6">
        <v>0</v>
      </c>
      <c r="W24" s="6">
        <v>0</v>
      </c>
      <c r="X24" s="6">
        <v>0</v>
      </c>
      <c r="Y24" s="6">
        <v>0</v>
      </c>
      <c r="Z24" s="6">
        <v>0</v>
      </c>
      <c r="AA24" s="6">
        <v>0</v>
      </c>
      <c r="AB24" s="3">
        <v>0</v>
      </c>
      <c r="AC24" s="6">
        <v>0</v>
      </c>
      <c r="AD24" s="6">
        <v>0</v>
      </c>
      <c r="AE24" s="6">
        <v>0</v>
      </c>
      <c r="AF24" s="6">
        <v>0</v>
      </c>
      <c r="AG24" s="3">
        <v>0</v>
      </c>
      <c r="AH24" s="6">
        <v>0</v>
      </c>
      <c r="AI24" s="6">
        <v>0</v>
      </c>
      <c r="AJ24" s="6">
        <v>0</v>
      </c>
      <c r="AK24" s="6">
        <v>0</v>
      </c>
      <c r="AL24" s="6">
        <v>0</v>
      </c>
      <c r="AM24" s="6">
        <v>0</v>
      </c>
      <c r="AN24" s="6">
        <v>0</v>
      </c>
      <c r="AO24" s="6">
        <v>0</v>
      </c>
      <c r="AP24" s="3">
        <v>0</v>
      </c>
      <c r="AQ24" s="6">
        <v>0</v>
      </c>
      <c r="AR24" s="6">
        <v>0</v>
      </c>
      <c r="AS24" s="6">
        <v>0</v>
      </c>
      <c r="AT24" s="6">
        <v>0</v>
      </c>
      <c r="AU24" s="3">
        <v>0</v>
      </c>
      <c r="AV24" s="6">
        <v>0</v>
      </c>
      <c r="AW24" s="6">
        <v>0</v>
      </c>
    </row>
    <row r="25" spans="1:49">
      <c r="A25" s="3">
        <v>23</v>
      </c>
      <c r="B25" s="3" t="s">
        <v>91</v>
      </c>
      <c r="C25" t="s">
        <v>92</v>
      </c>
      <c r="D25" s="3" t="s">
        <v>48</v>
      </c>
      <c r="E25" s="4">
        <v>20.0</v>
      </c>
      <c r="F25" s="5">
        <v>556.4</v>
      </c>
      <c r="G25" s="6">
        <v>0</v>
      </c>
      <c r="H25" s="6">
        <v>0</v>
      </c>
      <c r="I25" s="6">
        <v>0</v>
      </c>
      <c r="J25" s="6">
        <v>0</v>
      </c>
      <c r="K25" s="4">
        <v>3.818178</v>
      </c>
      <c r="L25" s="5">
        <v>106.221712</v>
      </c>
      <c r="M25" s="7">
        <v>1.0</v>
      </c>
      <c r="N25" s="4">
        <v>3.0</v>
      </c>
      <c r="O25" s="4">
        <v>0.272727</v>
      </c>
      <c r="P25" s="6">
        <v>0</v>
      </c>
      <c r="Q25" s="6">
        <v>0</v>
      </c>
      <c r="R25" s="6">
        <v>0</v>
      </c>
      <c r="S25" s="6">
        <v>0</v>
      </c>
      <c r="T25" s="4">
        <v>0.5</v>
      </c>
      <c r="U25" s="10" t="s">
        <v>49</v>
      </c>
      <c r="V25" s="5">
        <v>78.0</v>
      </c>
      <c r="W25" s="5">
        <v>26.0</v>
      </c>
      <c r="X25" s="6">
        <v>0</v>
      </c>
      <c r="Y25" s="5">
        <v>0.0</v>
      </c>
      <c r="Z25" s="5">
        <v>-78.0</v>
      </c>
      <c r="AA25" s="5">
        <v>-26.0</v>
      </c>
      <c r="AB25" s="16">
        <v>0</v>
      </c>
      <c r="AC25" s="4">
        <v>3.0</v>
      </c>
      <c r="AD25" s="6">
        <v>0</v>
      </c>
      <c r="AE25" s="6">
        <v>0</v>
      </c>
      <c r="AF25" s="6">
        <v>0</v>
      </c>
      <c r="AG25" s="3">
        <v>0</v>
      </c>
      <c r="AH25" s="6">
        <v>0</v>
      </c>
      <c r="AI25" s="6">
        <v>0</v>
      </c>
      <c r="AJ25" s="6">
        <v>0</v>
      </c>
      <c r="AK25" s="6">
        <v>0</v>
      </c>
      <c r="AL25" s="6">
        <v>0</v>
      </c>
      <c r="AM25" s="6">
        <v>0</v>
      </c>
      <c r="AN25" s="6">
        <v>0</v>
      </c>
      <c r="AO25" s="6">
        <v>0</v>
      </c>
      <c r="AP25" s="3">
        <v>0</v>
      </c>
      <c r="AQ25" s="6">
        <v>0</v>
      </c>
      <c r="AR25" s="6">
        <v>0</v>
      </c>
      <c r="AS25" s="6">
        <v>0</v>
      </c>
      <c r="AT25" s="6">
        <v>0</v>
      </c>
      <c r="AU25" s="3">
        <v>0</v>
      </c>
      <c r="AV25" s="6">
        <v>0</v>
      </c>
      <c r="AW25" s="6">
        <v>0</v>
      </c>
    </row>
    <row r="26" spans="1:49">
      <c r="A26" s="3">
        <v>24</v>
      </c>
      <c r="B26" s="3" t="s">
        <v>93</v>
      </c>
      <c r="C26" t="s">
        <v>94</v>
      </c>
      <c r="D26" s="3" t="s">
        <v>48</v>
      </c>
      <c r="E26" s="4">
        <v>30.0</v>
      </c>
      <c r="F26" s="5">
        <v>3852.0</v>
      </c>
      <c r="G26" s="6">
        <v>0</v>
      </c>
      <c r="H26" s="6">
        <v>0</v>
      </c>
      <c r="I26" s="6">
        <v>0</v>
      </c>
      <c r="J26" s="6">
        <v>0</v>
      </c>
      <c r="K26" s="4">
        <v>6.36363</v>
      </c>
      <c r="L26" s="5">
        <v>817.090092</v>
      </c>
      <c r="M26" s="7">
        <v>1.0</v>
      </c>
      <c r="N26" s="4">
        <v>5.0</v>
      </c>
      <c r="O26" s="4">
        <v>0.454545</v>
      </c>
      <c r="P26" s="6">
        <v>0</v>
      </c>
      <c r="Q26" s="6">
        <v>0</v>
      </c>
      <c r="R26" s="6">
        <v>0</v>
      </c>
      <c r="S26" s="6">
        <v>0</v>
      </c>
      <c r="T26" s="4">
        <v>0.666666</v>
      </c>
      <c r="U26" s="10" t="s">
        <v>49</v>
      </c>
      <c r="V26" s="5">
        <v>600.0</v>
      </c>
      <c r="W26" s="5">
        <v>120.0</v>
      </c>
      <c r="X26" s="5">
        <v>1144.872</v>
      </c>
      <c r="Y26" s="5">
        <v>228.9744</v>
      </c>
      <c r="Z26" s="5">
        <v>544.872</v>
      </c>
      <c r="AA26" s="5">
        <v>108.9744</v>
      </c>
      <c r="AB26" s="9">
        <v>0.47592394608306</v>
      </c>
      <c r="AC26" s="4">
        <v>5.0</v>
      </c>
      <c r="AD26" s="6">
        <v>0</v>
      </c>
      <c r="AE26" s="6">
        <v>0</v>
      </c>
      <c r="AF26" s="6">
        <v>0</v>
      </c>
      <c r="AG26" s="3">
        <v>0</v>
      </c>
      <c r="AH26" s="6">
        <v>0</v>
      </c>
      <c r="AI26" s="6">
        <v>0</v>
      </c>
      <c r="AJ26" s="6">
        <v>0</v>
      </c>
      <c r="AK26" s="6">
        <v>0</v>
      </c>
      <c r="AL26" s="6">
        <v>0</v>
      </c>
      <c r="AM26" s="6">
        <v>0</v>
      </c>
      <c r="AN26" s="6">
        <v>0</v>
      </c>
      <c r="AO26" s="6">
        <v>0</v>
      </c>
      <c r="AP26" s="3">
        <v>0</v>
      </c>
      <c r="AQ26" s="6">
        <v>0</v>
      </c>
      <c r="AR26" s="6">
        <v>0</v>
      </c>
      <c r="AS26" s="6">
        <v>0</v>
      </c>
      <c r="AT26" s="6">
        <v>0</v>
      </c>
      <c r="AU26" s="3">
        <v>0</v>
      </c>
      <c r="AV26" s="6">
        <v>0</v>
      </c>
      <c r="AW26" s="6">
        <v>0</v>
      </c>
    </row>
    <row r="27" spans="1:49">
      <c r="A27" s="3">
        <v>25</v>
      </c>
      <c r="B27" s="3" t="s">
        <v>95</v>
      </c>
      <c r="C27" t="s">
        <v>96</v>
      </c>
      <c r="D27" s="3" t="s">
        <v>48</v>
      </c>
      <c r="E27" s="4">
        <v>300.0</v>
      </c>
      <c r="F27" s="5">
        <v>90000.0</v>
      </c>
      <c r="G27" s="6">
        <v>0</v>
      </c>
      <c r="H27" s="6">
        <v>0</v>
      </c>
      <c r="I27" s="6">
        <v>0</v>
      </c>
      <c r="J27" s="6">
        <v>0</v>
      </c>
      <c r="K27" s="4">
        <v>206.181808</v>
      </c>
      <c r="L27" s="5">
        <v>61854.5424</v>
      </c>
      <c r="M27" s="7">
        <v>1.0</v>
      </c>
      <c r="N27" s="4">
        <v>164.0</v>
      </c>
      <c r="O27" s="4">
        <v>14.727272</v>
      </c>
      <c r="P27" s="6">
        <v>0</v>
      </c>
      <c r="Q27" s="6">
        <v>0</v>
      </c>
      <c r="R27" s="4">
        <v>12.0</v>
      </c>
      <c r="S27" s="5">
        <v>3600.0</v>
      </c>
      <c r="T27" s="4">
        <v>20.833333</v>
      </c>
      <c r="U27" s="8">
        <v>0.576000009216</v>
      </c>
      <c r="V27" s="5">
        <v>45981.389</v>
      </c>
      <c r="W27" s="5">
        <v>280.37432317073</v>
      </c>
      <c r="X27" s="5">
        <v>85561.34</v>
      </c>
      <c r="Y27" s="5">
        <v>521.71548780488</v>
      </c>
      <c r="Z27" s="5">
        <v>39579.951</v>
      </c>
      <c r="AA27" s="5">
        <v>241.34116463415</v>
      </c>
      <c r="AB27" s="9">
        <v>0.46259152790267</v>
      </c>
      <c r="AC27" s="4">
        <v>164.0</v>
      </c>
      <c r="AD27" s="6">
        <v>0</v>
      </c>
      <c r="AE27" s="6">
        <v>0</v>
      </c>
      <c r="AF27" s="6">
        <v>0</v>
      </c>
      <c r="AG27" s="3">
        <v>0</v>
      </c>
      <c r="AH27" s="6">
        <v>0</v>
      </c>
      <c r="AI27" s="6">
        <v>0</v>
      </c>
      <c r="AJ27" s="6">
        <v>0</v>
      </c>
      <c r="AK27" s="6">
        <v>0</v>
      </c>
      <c r="AL27" s="6">
        <v>0</v>
      </c>
      <c r="AM27" s="6">
        <v>0</v>
      </c>
      <c r="AN27" s="6">
        <v>0</v>
      </c>
      <c r="AO27" s="6">
        <v>0</v>
      </c>
      <c r="AP27" s="3">
        <v>0</v>
      </c>
      <c r="AQ27" s="6">
        <v>0</v>
      </c>
      <c r="AR27" s="6">
        <v>0</v>
      </c>
      <c r="AS27" s="6">
        <v>0</v>
      </c>
      <c r="AT27" s="6">
        <v>0</v>
      </c>
      <c r="AU27" s="3">
        <v>0</v>
      </c>
      <c r="AV27" s="6">
        <v>0</v>
      </c>
      <c r="AW27" s="6">
        <v>0</v>
      </c>
    </row>
    <row r="28" spans="1:49">
      <c r="A28" s="3">
        <v>26</v>
      </c>
      <c r="B28" s="3" t="s">
        <v>97</v>
      </c>
      <c r="C28" t="s">
        <v>98</v>
      </c>
      <c r="D28" s="3" t="s">
        <v>48</v>
      </c>
      <c r="E28" s="4">
        <v>179.0</v>
      </c>
      <c r="F28" s="5">
        <v>53700.0</v>
      </c>
      <c r="G28" s="6">
        <v>0</v>
      </c>
      <c r="H28" s="6">
        <v>0</v>
      </c>
      <c r="I28" s="6">
        <v>0</v>
      </c>
      <c r="J28" s="6">
        <v>0</v>
      </c>
      <c r="K28" s="4">
        <v>20.36363</v>
      </c>
      <c r="L28" s="5">
        <v>6109.089</v>
      </c>
      <c r="M28" s="7">
        <v>1.0</v>
      </c>
      <c r="N28" s="4">
        <v>10.0</v>
      </c>
      <c r="O28" s="4">
        <v>1.454545</v>
      </c>
      <c r="P28" s="6">
        <v>0</v>
      </c>
      <c r="Q28" s="6">
        <v>0</v>
      </c>
      <c r="R28" s="4">
        <v>128.0</v>
      </c>
      <c r="S28" s="5">
        <v>38400.0</v>
      </c>
      <c r="T28" s="4">
        <v>1.5</v>
      </c>
      <c r="U28" s="13">
        <v>85.333333333333</v>
      </c>
      <c r="V28" s="5">
        <v>2803.729</v>
      </c>
      <c r="W28" s="5">
        <v>280.3729</v>
      </c>
      <c r="X28" s="5">
        <v>5166.381</v>
      </c>
      <c r="Y28" s="5">
        <v>516.6381</v>
      </c>
      <c r="Z28" s="5">
        <v>2362.652</v>
      </c>
      <c r="AA28" s="5">
        <v>236.2652</v>
      </c>
      <c r="AB28" s="9">
        <v>0.45731276884148</v>
      </c>
      <c r="AC28" s="4">
        <v>10.0</v>
      </c>
      <c r="AD28" s="6">
        <v>0</v>
      </c>
      <c r="AE28" s="6">
        <v>0</v>
      </c>
      <c r="AF28" s="6">
        <v>0</v>
      </c>
      <c r="AG28" s="3">
        <v>0</v>
      </c>
      <c r="AH28" s="6">
        <v>0</v>
      </c>
      <c r="AI28" s="6">
        <v>0</v>
      </c>
      <c r="AJ28" s="6">
        <v>0</v>
      </c>
      <c r="AK28" s="6">
        <v>0</v>
      </c>
      <c r="AL28" s="6">
        <v>0</v>
      </c>
      <c r="AM28" s="6">
        <v>0</v>
      </c>
      <c r="AN28" s="6">
        <v>0</v>
      </c>
      <c r="AO28" s="6">
        <v>0</v>
      </c>
      <c r="AP28" s="3">
        <v>0</v>
      </c>
      <c r="AQ28" s="6">
        <v>0</v>
      </c>
      <c r="AR28" s="6">
        <v>0</v>
      </c>
      <c r="AS28" s="6">
        <v>0</v>
      </c>
      <c r="AT28" s="6">
        <v>0</v>
      </c>
      <c r="AU28" s="3">
        <v>0</v>
      </c>
      <c r="AV28" s="6">
        <v>0</v>
      </c>
      <c r="AW28" s="6">
        <v>0</v>
      </c>
    </row>
    <row r="29" spans="1:49">
      <c r="A29" s="3">
        <v>27</v>
      </c>
      <c r="B29" s="3" t="s">
        <v>99</v>
      </c>
      <c r="C29" t="s">
        <v>100</v>
      </c>
      <c r="D29" s="3" t="s">
        <v>101</v>
      </c>
      <c r="E29" s="4">
        <v>58.0</v>
      </c>
      <c r="F29" s="5">
        <v>126440.0</v>
      </c>
      <c r="G29" s="6">
        <v>0</v>
      </c>
      <c r="H29" s="6">
        <v>0</v>
      </c>
      <c r="I29" s="6">
        <v>0</v>
      </c>
      <c r="J29" s="6">
        <v>0</v>
      </c>
      <c r="K29" s="4">
        <v>127.272726</v>
      </c>
      <c r="L29" s="5">
        <v>276181.81542</v>
      </c>
      <c r="M29" s="7">
        <v>1.0</v>
      </c>
      <c r="N29" s="4">
        <v>99.0</v>
      </c>
      <c r="O29" s="4">
        <v>9.090909</v>
      </c>
      <c r="P29" s="4">
        <v>18.0</v>
      </c>
      <c r="Q29" s="4">
        <v>9.0</v>
      </c>
      <c r="R29" s="4">
        <v>28.0</v>
      </c>
      <c r="S29" s="5">
        <v>60760.0</v>
      </c>
      <c r="T29" s="4">
        <v>16.5</v>
      </c>
      <c r="U29" s="8">
        <v>1.6969696969697</v>
      </c>
      <c r="V29" s="5">
        <v>204697.251</v>
      </c>
      <c r="W29" s="5">
        <v>2067.649</v>
      </c>
      <c r="X29" s="5">
        <v>284532.635</v>
      </c>
      <c r="Y29" s="5">
        <v>2874.067020202</v>
      </c>
      <c r="Z29" s="5">
        <v>79835.384</v>
      </c>
      <c r="AA29" s="5">
        <v>806.41802020202</v>
      </c>
      <c r="AB29" s="9">
        <v>0.2805842781444</v>
      </c>
      <c r="AC29" s="4">
        <v>99.0</v>
      </c>
      <c r="AD29" s="4">
        <v>1.0</v>
      </c>
      <c r="AE29" s="6">
        <v>0</v>
      </c>
      <c r="AF29" s="6">
        <v>0</v>
      </c>
      <c r="AG29" s="3">
        <v>0</v>
      </c>
      <c r="AH29" s="4">
        <v>1.0</v>
      </c>
      <c r="AI29" s="5">
        <v>2170.0</v>
      </c>
      <c r="AJ29" s="5">
        <v>37143.95</v>
      </c>
      <c r="AK29" s="5">
        <v>2063.5527777778</v>
      </c>
      <c r="AL29" s="5">
        <v>46500.585</v>
      </c>
      <c r="AM29" s="5">
        <v>2583.3658333333</v>
      </c>
      <c r="AN29" s="5">
        <v>9356.635</v>
      </c>
      <c r="AO29" s="5">
        <v>519.81305555556</v>
      </c>
      <c r="AP29" s="11">
        <v>0.20121542556938</v>
      </c>
      <c r="AQ29" s="4">
        <v>18.0</v>
      </c>
      <c r="AR29" s="6">
        <v>0</v>
      </c>
      <c r="AS29" s="6">
        <v>0</v>
      </c>
      <c r="AT29" s="6">
        <v>0</v>
      </c>
      <c r="AU29" s="3">
        <v>0</v>
      </c>
      <c r="AV29" s="4">
        <v>1.0</v>
      </c>
      <c r="AW29" s="5">
        <v>2170.0</v>
      </c>
    </row>
    <row r="30" spans="1:49">
      <c r="A30" s="1" t="s">
        <v>102</v>
      </c>
      <c r="B30" s="1"/>
      <c r="C30" s="1"/>
      <c r="D30" s="1"/>
      <c r="E30" s="1"/>
      <c r="F30" s="17">
        <f>SUM(F3:F30)</f>
        <v>1057298.4</v>
      </c>
      <c r="G30" s="1"/>
      <c r="H30" s="17">
        <f>SUM(H3:H30)</f>
        <v>2609957.039</v>
      </c>
      <c r="I30" s="1"/>
      <c r="J30" s="17">
        <f>SUM(J3:J30)</f>
        <v>0</v>
      </c>
      <c r="K30" s="1"/>
      <c r="L30" s="17">
        <f>SUM(L3:L30)</f>
        <v>3370579.440916</v>
      </c>
      <c r="M30" s="1"/>
      <c r="N30" s="1"/>
      <c r="O30" s="1"/>
      <c r="P30" s="1"/>
      <c r="Q30" s="1"/>
      <c r="R30" s="1"/>
      <c r="S30" s="17">
        <f>SUM(S3:S30)</f>
        <v>655628.526</v>
      </c>
      <c r="T30" s="1"/>
      <c r="U30" s="1"/>
      <c r="V30" s="17">
        <f>SUM(V3:V30)</f>
        <v>2476632.434</v>
      </c>
      <c r="W30" s="1"/>
      <c r="X30" s="17">
        <f>SUM(X3:X30)</f>
        <v>3527733.319</v>
      </c>
      <c r="Y30" s="1"/>
      <c r="Z30" s="17">
        <f>SUM(Z3:Z30)</f>
        <v>1051100.885</v>
      </c>
      <c r="AA30" s="1"/>
      <c r="AB30" s="1"/>
      <c r="AC30" s="1"/>
      <c r="AD30" s="1"/>
      <c r="AE30" s="1"/>
      <c r="AF30" s="17">
        <f>SUM(AF3:AF30)</f>
        <v>0</v>
      </c>
      <c r="AG30" s="1"/>
      <c r="AH30" s="1"/>
      <c r="AI30" s="17">
        <f>SUM(AI3:AI30)</f>
        <v>2170</v>
      </c>
      <c r="AJ30" s="17">
        <f>SUM(AJ3:V30)</f>
        <v>14343934.878402</v>
      </c>
      <c r="AK30" s="1"/>
      <c r="AL30" s="17">
        <f>SUM(AL3:AL30)</f>
        <v>259775.239</v>
      </c>
      <c r="AM30" s="1"/>
      <c r="AN30" s="17">
        <f>SUM(AN3:AN30)</f>
        <v>73715.378</v>
      </c>
      <c r="AO30" s="1"/>
      <c r="AP30" s="1"/>
      <c r="AQ30" s="1"/>
      <c r="AR30" s="1"/>
      <c r="AS30" s="1"/>
      <c r="AT30" s="17">
        <f>SUM(AT3:AT30)</f>
        <v>0</v>
      </c>
      <c r="AU30" s="1"/>
      <c r="AV30" s="1"/>
      <c r="AW30" s="17">
        <f>SUM(AW3:AW30)</f>
        <v>2170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F1"/>
    <mergeCell ref="G1:H1"/>
    <mergeCell ref="I1:J1"/>
    <mergeCell ref="K1:M1"/>
    <mergeCell ref="N1:O1"/>
    <mergeCell ref="P1:Q1"/>
    <mergeCell ref="R1:U1"/>
    <mergeCell ref="V1:AB1"/>
    <mergeCell ref="AC1:AI1"/>
    <mergeCell ref="AJ1:AP1"/>
    <mergeCell ref="AQ1:AW1"/>
    <mergeCell ref="A30:D30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J2"/>
  <sheetViews>
    <sheetView tabSelected="0" workbookViewId="0" showGridLines="true" showRowColHeaders="1">
      <pane ySplit="1" topLeftCell="A2" activePane="bottomLeft" state="frozen"/>
      <selection pane="bottomLeft" activeCell="I2" sqref="I2"/>
    </sheetView>
  </sheetViews>
  <sheetFormatPr defaultRowHeight="14.4" defaultColWidth="13" outlineLevelRow="0" outlineLevelCol="0"/>
  <cols>
    <col min="1" max="1" width="6" customWidth="true" style="0"/>
    <col min="2" max="2" width="20" customWidth="true" style="0"/>
    <col min="3" max="3" width="15" customWidth="true" style="0"/>
    <col min="4" max="4" width="15" customWidth="true" style="0"/>
    <col min="5" max="5" width="50" customWidth="true" style="0"/>
    <col min="6" max="6" width="15" customWidth="true" style="0"/>
    <col min="7" max="7" width="50" customWidth="true" style="0"/>
    <col min="8" max="8" width="8" customWidth="true" style="0"/>
    <col min="9" max="9" width="15" customWidth="true" style="0"/>
    <col min="10" max="10" width="13" style="0"/>
    <col min="11" max="11" width="30" customWidth="true" style="0"/>
    <col min="12" max="12" width="60" customWidth="true" style="0"/>
  </cols>
  <sheetData>
    <row r="1" spans="1:36" customHeight="1" ht="18">
      <c r="A1" s="1" t="s">
        <v>0</v>
      </c>
      <c r="B1" s="1" t="s">
        <v>103</v>
      </c>
      <c r="C1" s="1" t="s">
        <v>104</v>
      </c>
      <c r="D1" s="1" t="s">
        <v>105</v>
      </c>
      <c r="E1" s="1" t="s">
        <v>106</v>
      </c>
      <c r="F1" s="1" t="s">
        <v>1</v>
      </c>
      <c r="G1" s="1" t="s">
        <v>2</v>
      </c>
      <c r="H1" s="1" t="s">
        <v>107</v>
      </c>
      <c r="I1" s="1" t="s">
        <v>108</v>
      </c>
      <c r="J1" s="1" t="s">
        <v>109</v>
      </c>
      <c r="K1" s="1" t="s">
        <v>110</v>
      </c>
      <c r="L1" s="1" t="s">
        <v>111</v>
      </c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</row>
    <row r="2" spans="1:36">
      <c r="A2" s="3">
        <v>1</v>
      </c>
      <c r="B2" t="s">
        <v>112</v>
      </c>
      <c r="C2" s="3" t="s">
        <v>113</v>
      </c>
      <c r="D2" s="18">
        <v>45272.0</v>
      </c>
      <c r="E2" t="s">
        <v>114</v>
      </c>
      <c r="F2" s="3" t="s">
        <v>99</v>
      </c>
      <c r="G2" t="s">
        <v>100</v>
      </c>
      <c r="H2" s="3" t="s">
        <v>115</v>
      </c>
      <c r="I2" s="4">
        <v>1.0</v>
      </c>
      <c r="J2" t="s">
        <v>116</v>
      </c>
      <c r="K2" t="s">
        <v>117</v>
      </c>
      <c r="L2" t="s">
        <v>118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ข้อมูลซัพพลายเออร์</vt:lpstr>
      <vt:lpstr>ข้อมูลการคืนเคลมสินค้า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ศุภาวิตา  ศรีวิบูลย์</dc:creator>
  <cp:lastModifiedBy>ศุภาวิตา  ศรีวิบูลย์</cp:lastModifiedBy>
  <dcterms:created xsi:type="dcterms:W3CDTF">2024-02-13T15:32:19+07:00</dcterms:created>
  <dcterms:modified xsi:type="dcterms:W3CDTF">2024-02-13T15:32:19+07:00</dcterms:modified>
  <dc:title>รายงานประเมินซัพพลายเออร์ บจ.คิงบางกอก อินเตอร์เทรด</dc:title>
  <dc:description/>
  <dc:subject>รายงานประเมินซัพพลายเออร์ บจ.คิงบางกอก อินเตอร์เทรด</dc:subject>
  <cp:keywords/>
  <cp:category/>
</cp:coreProperties>
</file>