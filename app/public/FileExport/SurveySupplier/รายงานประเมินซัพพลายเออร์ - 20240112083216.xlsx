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<sst xmlns="http://schemas.openxmlformats.org/spreadsheetml/2006/main" uniqueCount="137">
  <si>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</si>
  <si>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</si>
  <si>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</si>
  <si>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</si>
  <si>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</si>
  <si>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</si>
  <si>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</si>
  <si>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</si>
  <si>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</si>
  <si>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</si>
  <si>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</si>
  <si>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</si>
  <si>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</si>
  <si>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</si>
  <si>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</si>
  <si>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</si>
  <si>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</si>
  <si>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</si>
  <si>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</si>
  <si>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</si>
  <si>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</si>
  <si>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</si>
  <si>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</si>
  <si>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</si>
  <si>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</si>
  <si>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</si>
  <si>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</si>
  <si>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</si>
  <si>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</si>
  <si>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</si>
  <si>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</si>
  <si>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</si>
  <si>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</si>
  <si>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</si>
  <si>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</si>
  <si>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</si>
  <si>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</si>
  <si>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</si>
  <si>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</si>
  <si>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</si>
  <si>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</si>
  <si>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</si>
  <si>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</si>
  <si>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05-004-096</t>
  </si>
  <si>
    <t>เครื่องเจาะดิน EUROX 5200Z (52.7 CC.)</t>
  </si>
  <si>
    <t>A</t>
  </si>
  <si>
    <t>05-090-150</t>
  </si>
  <si>
    <t>ตัดหญ้า EUROX 35CC</t>
  </si>
  <si>
    <t>D24</t>
  </si>
  <si>
    <t>05-090-130</t>
  </si>
  <si>
    <t>เครื่องตัดหญ้าสะพายบ่า EUROX31 PLUS I</t>
  </si>
  <si>
    <t>M</t>
  </si>
  <si>
    <t>DEAD</t>
  </si>
  <si>
    <t>05-090-100</t>
  </si>
  <si>
    <t>ตัดหญ้า EUROX 411M</t>
  </si>
  <si>
    <t>05-004-099</t>
  </si>
  <si>
    <t>รถพรวนดิน EU8005ZS (3.2Hp)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</si>
  <si>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</si>
  <si>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</si>
  <si>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</si>
  <si>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</si>
  <si>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05-004-089</t>
  </si>
  <si>
    <t>หัวสูบน้ำ EUROX Z</t>
  </si>
  <si>
    <t>06-500-510</t>
  </si>
  <si>
    <t>ล้อเข็นสำหรับเครื่องตัดหญ้า</t>
  </si>
  <si>
    <t>D22</t>
  </si>
  <si>
    <t>06-503-150</t>
  </si>
  <si>
    <t>ดอกสว่านเจาะดิน 4" (100mm.)</t>
  </si>
  <si>
    <t>06-503-151</t>
  </si>
  <si>
    <t>ดอกสว่านเจาะดิน 6" (150mm.)</t>
  </si>
  <si>
    <t>06-502-272</t>
  </si>
  <si>
    <t>โซ่เลื่อยยนต์(บาร์เลเซอร์) 3/8LP-3*45</t>
  </si>
  <si>
    <t>06-500-145</t>
  </si>
  <si>
    <t>411M ก้านตัดหญ้าครบชุดพร้อมแฮนด์+ชุดคันเร่ง</t>
  </si>
  <si>
    <t>06-508-300</t>
  </si>
  <si>
    <t>บาร์เลเซอร์เลื่อยโซ่ (11.5")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</si>
  <si>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</si>
  <si>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</si>
  <si>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</si>
  <si>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</si>
  <si>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</si>
  <si>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</si>
  <si>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</si>
  <si>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</si>
  <si>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</si>
  <si>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</si>
  <si>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</si>
  <si>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</si>
  <si>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</si>
  <si>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</si>
  <si>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</si>
  <si>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</si>
  <si>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</si>
  <si>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</si>
  <si>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</si>
  <si>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</si>
  <si>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</si>
  <si>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</si>
  <si>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</si>
  <si>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</si>
  <si>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</si>
  <si>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</si>
  <si>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</si>
  <si>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</si>
  <si>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</si>
  <si>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</si>
  <si>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</si>
  <si>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</si>
  <si>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</si>
  <si>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RN-66072070</t>
  </si>
  <si>
    <t>M-00359 - ดูโฮม - สุรินทร์</t>
  </si>
  <si>
    <t>สตาร์ทติดยาก</t>
  </si>
  <si>
    <t>RN-66112089</t>
  </si>
  <si>
    <t>ตัว</t>
  </si>
  <si>
    <t>สตาร์ทติดยากเครื่องติดแล้วดับ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</si>
  <si>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</si>
  <si>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</si>
  <si>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</si>
  <si>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</si>
  <si>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</si>
  <si>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</si>
  <si>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ชำรุดจากโรงงาน</t>
  </si>
  <si>
    <t>บอดี้แตก น้ำมันรั่ว</t>
  </si>
  <si>
    <t>ฝ่ายขายโมเดิร์นเทรด 2</t>
  </si>
  <si>
    <t>PE-66071017</t>
  </si>
  <si>
    <t>M-00461 - ฮาร์ดแวร์เฮาส์ คอร์ปอเรชั่น  (สำนักงานใหญ่)</t>
  </si>
  <si>
    <t>เครื่องติดดึงสตาร์ทไม่ติด</t>
  </si>
  <si>
    <t>PN-66074028</t>
  </si>
  <si>
    <t>M-00159 - ศิริมหาชัย ศรีสะเกษ</t>
  </si>
  <si>
    <t>ลานสตาร์ทรูดและก้านตัดงอ</t>
  </si>
  <si>
    <t>RN-66082021</t>
  </si>
  <si>
    <t>M-00436 - โฮมโปรดักส์ เซ็นเตอร์ (สาขาเมกาโฮม-แม่สอด)สาขาที่00122</t>
  </si>
  <si>
    <t>ก้านตัดไม่หมุนและคลัชไม่จับ</t>
  </si>
  <si>
    <t>PN-66084034</t>
  </si>
  <si>
    <t>M-00139 - เอสโบ้ โฮมเวิลด์ - สำนักงานใหญ่</t>
  </si>
  <si>
    <t>สายน้ำมันแตกทำให้น้ำมันเครื่องไหลออก</t>
  </si>
  <si>
    <t>บอร์ดี้แตกและลานสตาร์ทรูด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</si>
</sst>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5" sqref="AW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1477073.08</v>
      </c>
      <c r="G3" s="4">
        <v>1300.0</v>
      </c>
      <c r="H3" s="5">
        <v>3113922.678</v>
      </c>
      <c r="I3" s="6">
        <v>0</v>
      </c>
      <c r="J3" s="6">
        <v>0</v>
      </c>
      <c r="K3" s="4">
        <v>904.909082</v>
      </c>
      <c r="L3" s="5">
        <v>2176749.74766</v>
      </c>
      <c r="M3" s="7">
        <v>-0.43660841277754</v>
      </c>
      <c r="N3" s="4">
        <v>711.0</v>
      </c>
      <c r="O3" s="4">
        <v>64.636363</v>
      </c>
      <c r="P3" s="4">
        <v>42.0</v>
      </c>
      <c r="Q3" s="6">
        <v>0</v>
      </c>
      <c r="R3" s="4">
        <v>908.0</v>
      </c>
      <c r="S3" s="5">
        <v>2184184.92</v>
      </c>
      <c r="T3" s="4">
        <v>125.333333</v>
      </c>
      <c r="U3" s="8">
        <v>7.2446808703316</v>
      </c>
      <c r="V3" s="5">
        <v>1923658.566</v>
      </c>
      <c r="W3" s="5">
        <v>2705.5676033755</v>
      </c>
      <c r="X3" s="5">
        <v>2905323.632</v>
      </c>
      <c r="Y3" s="5">
        <v>4086.2498340366</v>
      </c>
      <c r="Z3" s="5">
        <v>981665.066</v>
      </c>
      <c r="AA3" s="5">
        <v>1380.682230661</v>
      </c>
      <c r="AB3" s="9">
        <v>0.33788492792599</v>
      </c>
      <c r="AC3" s="4">
        <v>711.0</v>
      </c>
      <c r="AD3" s="4">
        <v>2.0</v>
      </c>
      <c r="AE3" s="4">
        <v>2.0</v>
      </c>
      <c r="AF3" s="6">
        <v>0</v>
      </c>
      <c r="AG3" s="10">
        <v>0.0028129395218003</v>
      </c>
      <c r="AH3" s="6">
        <v>0</v>
      </c>
      <c r="AI3" s="6">
        <v>0</v>
      </c>
      <c r="AJ3" s="5">
        <v>99731.94</v>
      </c>
      <c r="AK3" s="5">
        <v>2374.57</v>
      </c>
      <c r="AL3" s="5">
        <v>172491.75</v>
      </c>
      <c r="AM3" s="5">
        <v>4106.9464285714</v>
      </c>
      <c r="AN3" s="5">
        <v>72759.81</v>
      </c>
      <c r="AO3" s="5">
        <v>1732.3764285714</v>
      </c>
      <c r="AP3" s="9">
        <v>0.42181617381701</v>
      </c>
      <c r="AQ3" s="4">
        <v>42.0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3400.0</v>
      </c>
      <c r="F4" s="5">
        <v>6579165.8</v>
      </c>
      <c r="G4" s="4">
        <v>1556.0</v>
      </c>
      <c r="H4" s="5">
        <v>2893101.92</v>
      </c>
      <c r="I4" s="6">
        <v>0</v>
      </c>
      <c r="J4" s="6">
        <v>0</v>
      </c>
      <c r="K4" s="4">
        <v>4368.0</v>
      </c>
      <c r="L4" s="5">
        <v>8121509.76</v>
      </c>
      <c r="M4" s="11">
        <v>0.64377289377289</v>
      </c>
      <c r="N4" s="4">
        <v>3432.0</v>
      </c>
      <c r="O4" s="4">
        <v>312.0</v>
      </c>
      <c r="P4" s="6">
        <v>0</v>
      </c>
      <c r="Q4" s="6">
        <v>0</v>
      </c>
      <c r="R4" s="4">
        <v>3.0</v>
      </c>
      <c r="S4" s="5">
        <v>5577.96</v>
      </c>
      <c r="T4" s="4">
        <v>566.0</v>
      </c>
      <c r="U4" s="12">
        <v>0.0053003533568905</v>
      </c>
      <c r="V4" s="5">
        <v>6555207.125</v>
      </c>
      <c r="W4" s="5">
        <v>1910.0253860723</v>
      </c>
      <c r="X4" s="5">
        <v>9373785.284</v>
      </c>
      <c r="Y4" s="5">
        <v>2731.2894184149</v>
      </c>
      <c r="Z4" s="5">
        <v>2818578.159</v>
      </c>
      <c r="AA4" s="5">
        <v>821.26403234266</v>
      </c>
      <c r="AB4" s="9">
        <v>0.30068729692486</v>
      </c>
      <c r="AC4" s="4">
        <v>3432.0</v>
      </c>
      <c r="AD4" s="4">
        <v>7.0</v>
      </c>
      <c r="AE4" s="4">
        <v>7.0</v>
      </c>
      <c r="AF4" s="6">
        <v>0</v>
      </c>
      <c r="AG4" s="10">
        <v>0.002039627039627</v>
      </c>
      <c r="AH4" s="4">
        <v>1.0</v>
      </c>
      <c r="AI4" s="5">
        <v>1859.32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1859.32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500.0</v>
      </c>
      <c r="F5" s="5">
        <v>1004990.0</v>
      </c>
      <c r="G5" s="4">
        <v>500.0</v>
      </c>
      <c r="H5" s="5">
        <v>1028845.0</v>
      </c>
      <c r="I5" s="6">
        <v>0</v>
      </c>
      <c r="J5" s="6">
        <v>0</v>
      </c>
      <c r="K5" s="4">
        <v>1084.36363</v>
      </c>
      <c r="L5" s="5">
        <v>2231284.197815</v>
      </c>
      <c r="M5" s="11">
        <v>0.5389000643631</v>
      </c>
      <c r="N5" s="4">
        <v>851.0</v>
      </c>
      <c r="O5" s="4">
        <v>77.454545</v>
      </c>
      <c r="P5" s="6">
        <v>0</v>
      </c>
      <c r="Q5" s="6">
        <v>0</v>
      </c>
      <c r="R5" s="6">
        <v>0</v>
      </c>
      <c r="S5" s="6">
        <v>0</v>
      </c>
      <c r="T5" s="4">
        <v>140.5</v>
      </c>
      <c r="U5" s="13" t="s">
        <v>52</v>
      </c>
      <c r="V5" s="5">
        <v>1733990.939</v>
      </c>
      <c r="W5" s="5">
        <v>2037.592172738</v>
      </c>
      <c r="X5" s="5">
        <v>2375530.635</v>
      </c>
      <c r="Y5" s="5">
        <v>2791.4578554642</v>
      </c>
      <c r="Z5" s="5">
        <v>641539.696</v>
      </c>
      <c r="AA5" s="5">
        <v>753.8656827262</v>
      </c>
      <c r="AB5" s="9">
        <v>0.27006163867047</v>
      </c>
      <c r="AC5" s="4">
        <v>851.0</v>
      </c>
      <c r="AD5" s="4">
        <v>1.0</v>
      </c>
      <c r="AE5" s="6">
        <v>0</v>
      </c>
      <c r="AF5" s="6">
        <v>0</v>
      </c>
      <c r="AG5" s="3">
        <v>0</v>
      </c>
      <c r="AH5" s="4">
        <v>1.0</v>
      </c>
      <c r="AI5" s="5">
        <v>2057.69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2057.69</v>
      </c>
    </row>
    <row r="6" spans="1:49">
      <c r="A6" s="3">
        <v>4</v>
      </c>
      <c r="B6" s="3" t="s">
        <v>53</v>
      </c>
      <c r="C6" t="s">
        <v>54</v>
      </c>
      <c r="D6" s="3" t="s">
        <v>45</v>
      </c>
      <c r="E6" s="4">
        <v>1360.0</v>
      </c>
      <c r="F6" s="5">
        <v>1962291.2</v>
      </c>
      <c r="G6" s="4">
        <v>500.0</v>
      </c>
      <c r="H6" s="5">
        <v>728905.0</v>
      </c>
      <c r="I6" s="6">
        <v>0</v>
      </c>
      <c r="J6" s="6">
        <v>0</v>
      </c>
      <c r="K6" s="4">
        <v>950.72726</v>
      </c>
      <c r="L6" s="5">
        <v>1385979.706901</v>
      </c>
      <c r="M6" s="11">
        <v>0.47408681644408</v>
      </c>
      <c r="N6" s="4">
        <v>770.0</v>
      </c>
      <c r="O6" s="4">
        <v>67.90909</v>
      </c>
      <c r="P6" s="4">
        <v>9.0</v>
      </c>
      <c r="Q6" s="6">
        <v>0</v>
      </c>
      <c r="R6" s="4">
        <v>3.0</v>
      </c>
      <c r="S6" s="5">
        <v>4373.43</v>
      </c>
      <c r="T6" s="4">
        <v>127.833333</v>
      </c>
      <c r="U6" s="12">
        <v>0.023468057427557</v>
      </c>
      <c r="V6" s="5">
        <v>1114432.051</v>
      </c>
      <c r="W6" s="5">
        <v>1447.3143519481</v>
      </c>
      <c r="X6" s="5">
        <v>1492584.769</v>
      </c>
      <c r="Y6" s="5">
        <v>1938.4217779221</v>
      </c>
      <c r="Z6" s="5">
        <v>378152.718</v>
      </c>
      <c r="AA6" s="5">
        <v>491.10742597403</v>
      </c>
      <c r="AB6" s="9">
        <v>0.25335426560285</v>
      </c>
      <c r="AC6" s="4">
        <v>770.0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13120.29</v>
      </c>
      <c r="AK6" s="5">
        <v>1457.81</v>
      </c>
      <c r="AL6" s="5">
        <v>16701.864</v>
      </c>
      <c r="AM6" s="5">
        <v>1855.7626666667</v>
      </c>
      <c r="AN6" s="5">
        <v>3581.574</v>
      </c>
      <c r="AO6" s="5">
        <v>397.95266666667</v>
      </c>
      <c r="AP6" s="14">
        <v>0.21444157370698</v>
      </c>
      <c r="AQ6" s="4">
        <v>9.0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51</v>
      </c>
      <c r="E7" s="4">
        <v>60.0</v>
      </c>
      <c r="F7" s="5">
        <v>596638.0</v>
      </c>
      <c r="G7" s="4">
        <v>30.0</v>
      </c>
      <c r="H7" s="5">
        <v>296035.5</v>
      </c>
      <c r="I7" s="6">
        <v>0</v>
      </c>
      <c r="J7" s="6">
        <v>0</v>
      </c>
      <c r="K7" s="4">
        <v>35.636356</v>
      </c>
      <c r="L7" s="5">
        <v>351654.215555</v>
      </c>
      <c r="M7" s="11">
        <v>0.1581630849125</v>
      </c>
      <c r="N7" s="4">
        <v>28.0</v>
      </c>
      <c r="O7" s="4">
        <v>2.545454</v>
      </c>
      <c r="P7" s="4">
        <v>2.0</v>
      </c>
      <c r="Q7" s="6">
        <v>0</v>
      </c>
      <c r="R7" s="4">
        <v>5.0</v>
      </c>
      <c r="S7" s="5">
        <v>49339.25</v>
      </c>
      <c r="T7" s="4">
        <v>4.5</v>
      </c>
      <c r="U7" s="12">
        <v>1.1111111111111</v>
      </c>
      <c r="V7" s="5">
        <v>278555.02</v>
      </c>
      <c r="W7" s="5">
        <v>9948.3935714286</v>
      </c>
      <c r="X7" s="5">
        <v>389815.216</v>
      </c>
      <c r="Y7" s="5">
        <v>13921.972</v>
      </c>
      <c r="Z7" s="5">
        <v>111260.196</v>
      </c>
      <c r="AA7" s="5">
        <v>3973.5784285714</v>
      </c>
      <c r="AB7" s="9">
        <v>0.28541778625696</v>
      </c>
      <c r="AC7" s="4">
        <v>28.0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19784.22</v>
      </c>
      <c r="AK7" s="5">
        <v>9892.11</v>
      </c>
      <c r="AL7" s="5">
        <v>29886.0</v>
      </c>
      <c r="AM7" s="5">
        <v>14943.0</v>
      </c>
      <c r="AN7" s="5">
        <v>10101.78</v>
      </c>
      <c r="AO7" s="5">
        <v>5050.89</v>
      </c>
      <c r="AP7" s="9">
        <v>0.33801043967075</v>
      </c>
      <c r="AQ7" s="4">
        <v>2.0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1000.0</v>
      </c>
      <c r="F8" s="5">
        <v>48520.0</v>
      </c>
      <c r="G8" s="4">
        <v>2000.0</v>
      </c>
      <c r="H8" s="5">
        <v>125429.5</v>
      </c>
      <c r="I8" s="6">
        <v>0</v>
      </c>
      <c r="J8" s="6">
        <v>0</v>
      </c>
      <c r="K8" s="4">
        <v>1621.454534</v>
      </c>
      <c r="L8" s="5">
        <v>101186.870194</v>
      </c>
      <c r="M8" s="7">
        <v>-0.2334604258475</v>
      </c>
      <c r="N8" s="4">
        <v>1299.0</v>
      </c>
      <c r="O8" s="4">
        <v>115.818181</v>
      </c>
      <c r="P8" s="4">
        <v>10.0</v>
      </c>
      <c r="Q8" s="6">
        <v>0</v>
      </c>
      <c r="R8" s="4">
        <v>796.0</v>
      </c>
      <c r="S8" s="5">
        <v>49674.38</v>
      </c>
      <c r="T8" s="4">
        <v>206.5</v>
      </c>
      <c r="U8" s="12">
        <v>3.8547215496368</v>
      </c>
      <c r="V8" s="5">
        <v>87675.266</v>
      </c>
      <c r="W8" s="5">
        <v>67.494431100847</v>
      </c>
      <c r="X8" s="5">
        <v>224022.641</v>
      </c>
      <c r="Y8" s="5">
        <v>172.45776828329</v>
      </c>
      <c r="Z8" s="5">
        <v>136347.375</v>
      </c>
      <c r="AA8" s="5">
        <v>104.96333718245</v>
      </c>
      <c r="AB8" s="9">
        <v>0.60863212035787</v>
      </c>
      <c r="AC8" s="4">
        <v>1299.0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624.05</v>
      </c>
      <c r="AK8" s="5">
        <v>62.405</v>
      </c>
      <c r="AL8" s="5">
        <v>1728.0</v>
      </c>
      <c r="AM8" s="5">
        <v>172.8</v>
      </c>
      <c r="AN8" s="5">
        <v>1103.95</v>
      </c>
      <c r="AO8" s="5">
        <v>110.395</v>
      </c>
      <c r="AP8" s="9">
        <v>0.6388599537037</v>
      </c>
      <c r="AQ8" s="4">
        <v>10.0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1000.0</v>
      </c>
      <c r="F9" s="5">
        <v>79140.0</v>
      </c>
      <c r="G9" s="4">
        <v>1500.0</v>
      </c>
      <c r="H9" s="5">
        <v>73874.5</v>
      </c>
      <c r="I9" s="6">
        <v>0</v>
      </c>
      <c r="J9" s="6">
        <v>0</v>
      </c>
      <c r="K9" s="4">
        <v>1671.090904</v>
      </c>
      <c r="L9" s="5">
        <v>82334.64884</v>
      </c>
      <c r="M9" s="11">
        <v>0.10238276301455</v>
      </c>
      <c r="N9" s="4">
        <v>1320.0</v>
      </c>
      <c r="O9" s="4">
        <v>119.363636</v>
      </c>
      <c r="P9" s="4">
        <v>3.0</v>
      </c>
      <c r="Q9" s="6">
        <v>0</v>
      </c>
      <c r="R9" s="4">
        <v>506.0</v>
      </c>
      <c r="S9" s="5">
        <v>24930.62</v>
      </c>
      <c r="T9" s="4">
        <v>206.833333</v>
      </c>
      <c r="U9" s="12">
        <v>2.4464141860539</v>
      </c>
      <c r="V9" s="5">
        <v>83196.28</v>
      </c>
      <c r="W9" s="5">
        <v>63.027484848485</v>
      </c>
      <c r="X9" s="5">
        <v>310208.13</v>
      </c>
      <c r="Y9" s="5">
        <v>235.00615909091</v>
      </c>
      <c r="Z9" s="5">
        <v>227011.85</v>
      </c>
      <c r="AA9" s="5">
        <v>171.97867424242</v>
      </c>
      <c r="AB9" s="9">
        <v>0.73180496591111</v>
      </c>
      <c r="AC9" s="4">
        <v>1320.0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147.81</v>
      </c>
      <c r="AK9" s="5">
        <v>49.27</v>
      </c>
      <c r="AL9" s="5">
        <v>742.824</v>
      </c>
      <c r="AM9" s="5">
        <v>247.608</v>
      </c>
      <c r="AN9" s="5">
        <v>595.014</v>
      </c>
      <c r="AO9" s="5">
        <v>198.338</v>
      </c>
      <c r="AP9" s="9">
        <v>0.80101612225776</v>
      </c>
      <c r="AQ9" s="4">
        <v>3.0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197873.0</v>
      </c>
      <c r="G10" s="4">
        <v>200.0</v>
      </c>
      <c r="H10" s="5">
        <v>59302.0</v>
      </c>
      <c r="I10" s="6">
        <v>0</v>
      </c>
      <c r="J10" s="6">
        <v>0</v>
      </c>
      <c r="K10" s="4">
        <v>520.545452</v>
      </c>
      <c r="L10" s="5">
        <v>154346.931973</v>
      </c>
      <c r="M10" s="11">
        <v>0.61578763346875</v>
      </c>
      <c r="N10" s="4">
        <v>400.0</v>
      </c>
      <c r="O10" s="4">
        <v>37.181818</v>
      </c>
      <c r="P10" s="4">
        <v>8.0</v>
      </c>
      <c r="Q10" s="6">
        <v>0</v>
      </c>
      <c r="R10" s="4">
        <v>167.0</v>
      </c>
      <c r="S10" s="5">
        <v>49517.17</v>
      </c>
      <c r="T10" s="4">
        <v>65.333333</v>
      </c>
      <c r="U10" s="12">
        <v>2.556122462021</v>
      </c>
      <c r="V10" s="5">
        <v>159648.292</v>
      </c>
      <c r="W10" s="5">
        <v>399.12073</v>
      </c>
      <c r="X10" s="5">
        <v>221993.742</v>
      </c>
      <c r="Y10" s="5">
        <v>554.984355</v>
      </c>
      <c r="Z10" s="5">
        <v>62345.45</v>
      </c>
      <c r="AA10" s="5">
        <v>155.863625</v>
      </c>
      <c r="AB10" s="9">
        <v>0.28084327710463</v>
      </c>
      <c r="AC10" s="4">
        <v>400.0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2372.08</v>
      </c>
      <c r="AK10" s="5">
        <v>296.51</v>
      </c>
      <c r="AL10" s="5">
        <v>4640.5</v>
      </c>
      <c r="AM10" s="5">
        <v>580.0625</v>
      </c>
      <c r="AN10" s="5">
        <v>2268.42</v>
      </c>
      <c r="AO10" s="5">
        <v>283.5525</v>
      </c>
      <c r="AP10" s="9">
        <v>0.48883094494128</v>
      </c>
      <c r="AQ10" s="4">
        <v>8.0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6">
        <v>0</v>
      </c>
      <c r="F11" s="6">
        <v>0</v>
      </c>
      <c r="G11" s="4">
        <v>200.0</v>
      </c>
      <c r="H11" s="5">
        <v>44207.6</v>
      </c>
      <c r="I11" s="6">
        <v>0</v>
      </c>
      <c r="J11" s="6">
        <v>0</v>
      </c>
      <c r="K11" s="4">
        <v>120.909082</v>
      </c>
      <c r="L11" s="5">
        <v>26725.501667</v>
      </c>
      <c r="M11" s="7">
        <v>-0.65413546022953</v>
      </c>
      <c r="N11" s="4">
        <v>95.0</v>
      </c>
      <c r="O11" s="4">
        <v>8.636363</v>
      </c>
      <c r="P11" s="6">
        <v>0</v>
      </c>
      <c r="Q11" s="6">
        <v>0</v>
      </c>
      <c r="R11" s="4">
        <v>107.0</v>
      </c>
      <c r="S11" s="5">
        <v>23651.066</v>
      </c>
      <c r="T11" s="4">
        <v>15.5</v>
      </c>
      <c r="U11" s="8">
        <v>6.9032258064516</v>
      </c>
      <c r="V11" s="5">
        <v>20709.34</v>
      </c>
      <c r="W11" s="5">
        <v>217.99305263158</v>
      </c>
      <c r="X11" s="5">
        <v>19303.213</v>
      </c>
      <c r="Y11" s="5">
        <v>203.19171578947</v>
      </c>
      <c r="Z11" s="5">
        <v>-1406.127</v>
      </c>
      <c r="AA11" s="5">
        <v>-14.801336842105</v>
      </c>
      <c r="AB11" s="15">
        <v>-0.072844194383598</v>
      </c>
      <c r="AC11" s="4">
        <v>95.0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6">
        <v>0</v>
      </c>
      <c r="F12" s="6">
        <v>0</v>
      </c>
      <c r="G12" s="4">
        <v>200.0</v>
      </c>
      <c r="H12" s="5">
        <v>36874.8</v>
      </c>
      <c r="I12" s="6">
        <v>0</v>
      </c>
      <c r="J12" s="6">
        <v>0</v>
      </c>
      <c r="K12" s="4">
        <v>188.36363</v>
      </c>
      <c r="L12" s="5">
        <v>25558.684227</v>
      </c>
      <c r="M12" s="7">
        <v>-0.061776097646876</v>
      </c>
      <c r="N12" s="4">
        <v>148.0</v>
      </c>
      <c r="O12" s="4">
        <v>13.454545</v>
      </c>
      <c r="P12" s="4">
        <v>7.0</v>
      </c>
      <c r="Q12" s="6">
        <v>0</v>
      </c>
      <c r="R12" s="4">
        <v>83.0</v>
      </c>
      <c r="S12" s="5">
        <v>11262.104</v>
      </c>
      <c r="T12" s="4">
        <v>25.833333</v>
      </c>
      <c r="U12" s="12">
        <v>3.2129032672633</v>
      </c>
      <c r="V12" s="5">
        <v>35045.433</v>
      </c>
      <c r="W12" s="5">
        <v>236.79346621622</v>
      </c>
      <c r="X12" s="5">
        <v>58075.693</v>
      </c>
      <c r="Y12" s="5">
        <v>392.40333108108</v>
      </c>
      <c r="Z12" s="5">
        <v>23030.26</v>
      </c>
      <c r="AA12" s="5">
        <v>155.60986486486</v>
      </c>
      <c r="AB12" s="9">
        <v>0.39655592228577</v>
      </c>
      <c r="AC12" s="4">
        <v>148.0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949.82</v>
      </c>
      <c r="AK12" s="5">
        <v>135.68857142857</v>
      </c>
      <c r="AL12" s="5">
        <v>2487.622</v>
      </c>
      <c r="AM12" s="5">
        <v>355.37457142857</v>
      </c>
      <c r="AN12" s="5">
        <v>1537.802</v>
      </c>
      <c r="AO12" s="5">
        <v>219.686</v>
      </c>
      <c r="AP12" s="9">
        <v>0.61818154044304</v>
      </c>
      <c r="AQ12" s="4">
        <v>7.0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56.0</v>
      </c>
      <c r="F13" s="5">
        <v>21177.464</v>
      </c>
      <c r="G13" s="4">
        <v>40.0</v>
      </c>
      <c r="H13" s="5">
        <v>6988.8</v>
      </c>
      <c r="I13" s="6">
        <v>0</v>
      </c>
      <c r="J13" s="6">
        <v>0</v>
      </c>
      <c r="K13" s="4">
        <v>136.181808</v>
      </c>
      <c r="L13" s="5">
        <v>23793.685494</v>
      </c>
      <c r="M13" s="11">
        <v>0.70627501141709</v>
      </c>
      <c r="N13" s="4">
        <v>107.0</v>
      </c>
      <c r="O13" s="4">
        <v>9.727272</v>
      </c>
      <c r="P13" s="6">
        <v>0</v>
      </c>
      <c r="Q13" s="6">
        <v>0</v>
      </c>
      <c r="R13" s="4">
        <v>8.0</v>
      </c>
      <c r="S13" s="5">
        <v>1397.76</v>
      </c>
      <c r="T13" s="4">
        <v>17.333333</v>
      </c>
      <c r="U13" s="12">
        <v>0.4615384704142</v>
      </c>
      <c r="V13" s="5">
        <v>33096.261</v>
      </c>
      <c r="W13" s="5">
        <v>309.31085046729</v>
      </c>
      <c r="X13" s="5">
        <v>54190.123</v>
      </c>
      <c r="Y13" s="5">
        <v>506.44974766355</v>
      </c>
      <c r="Z13" s="5">
        <v>21093.862</v>
      </c>
      <c r="AA13" s="5">
        <v>197.13889719626</v>
      </c>
      <c r="AB13" s="9">
        <v>0.38925658094557</v>
      </c>
      <c r="AC13" s="4">
        <v>107.0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51</v>
      </c>
      <c r="E14" s="6">
        <v>0</v>
      </c>
      <c r="F14" s="6">
        <v>0</v>
      </c>
      <c r="G14" s="4">
        <v>1000.0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6">
        <v>0</v>
      </c>
      <c r="N14" s="6">
        <v>0</v>
      </c>
      <c r="O14" s="6">
        <v>0</v>
      </c>
      <c r="P14" s="6">
        <v>0</v>
      </c>
      <c r="Q14" s="6">
        <v>0</v>
      </c>
      <c r="R14" s="4">
        <v>995.0</v>
      </c>
      <c r="S14" s="6">
        <v>0</v>
      </c>
      <c r="T14" s="6">
        <v>0</v>
      </c>
      <c r="U14" s="13" t="s">
        <v>52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51</v>
      </c>
      <c r="E15" s="4">
        <v>52.0</v>
      </c>
      <c r="F15" s="5">
        <v>36041.2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6">
        <v>0</v>
      </c>
      <c r="N15" s="6">
        <v>0</v>
      </c>
      <c r="O15" s="6">
        <v>0</v>
      </c>
      <c r="P15" s="6">
        <v>0</v>
      </c>
      <c r="Q15" s="6">
        <v>0</v>
      </c>
      <c r="R15" s="4">
        <v>39.0</v>
      </c>
      <c r="S15" s="5">
        <v>27030.9</v>
      </c>
      <c r="T15" s="6">
        <v>0</v>
      </c>
      <c r="U15" s="13" t="s">
        <v>52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500.0</v>
      </c>
      <c r="F16" s="5">
        <v>138620.0</v>
      </c>
      <c r="G16" s="6">
        <v>0</v>
      </c>
      <c r="H16" s="6">
        <v>0</v>
      </c>
      <c r="I16" s="6">
        <v>0</v>
      </c>
      <c r="J16" s="6">
        <v>0</v>
      </c>
      <c r="K16" s="4">
        <v>309.272726</v>
      </c>
      <c r="L16" s="5">
        <v>85742.770556</v>
      </c>
      <c r="M16" s="11">
        <v>1.0</v>
      </c>
      <c r="N16" s="4">
        <v>252.0</v>
      </c>
      <c r="O16" s="4">
        <v>22.090909</v>
      </c>
      <c r="P16" s="4">
        <v>6.0</v>
      </c>
      <c r="Q16" s="6">
        <v>0</v>
      </c>
      <c r="R16" s="4">
        <v>169.0</v>
      </c>
      <c r="S16" s="5">
        <v>46853.56</v>
      </c>
      <c r="T16" s="4">
        <v>39.5</v>
      </c>
      <c r="U16" s="17">
        <v>4.2784810126582</v>
      </c>
      <c r="V16" s="5">
        <v>47454.12</v>
      </c>
      <c r="W16" s="5">
        <v>188.31</v>
      </c>
      <c r="X16" s="5">
        <v>123809.971</v>
      </c>
      <c r="Y16" s="5">
        <v>491.30940873016</v>
      </c>
      <c r="Z16" s="5">
        <v>76355.851</v>
      </c>
      <c r="AA16" s="5">
        <v>302.99940873016</v>
      </c>
      <c r="AB16" s="9">
        <v>0.61671810746164</v>
      </c>
      <c r="AC16" s="4">
        <v>252.0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1129.86</v>
      </c>
      <c r="AK16" s="5">
        <v>188.31</v>
      </c>
      <c r="AL16" s="5">
        <v>3009.6</v>
      </c>
      <c r="AM16" s="5">
        <v>501.6</v>
      </c>
      <c r="AN16" s="5">
        <v>1879.74</v>
      </c>
      <c r="AO16" s="5">
        <v>313.29</v>
      </c>
      <c r="AP16" s="9">
        <v>0.62458133971292</v>
      </c>
      <c r="AQ16" s="4">
        <v>6.0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51</v>
      </c>
      <c r="E17" s="4">
        <v>30.0</v>
      </c>
      <c r="F17" s="5">
        <v>1351.5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3" t="s">
        <v>52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51</v>
      </c>
      <c r="E18" s="4">
        <v>29.0</v>
      </c>
      <c r="F18" s="5">
        <v>4522.55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3" t="s">
        <v>52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51</v>
      </c>
      <c r="E19" s="4">
        <v>30.0</v>
      </c>
      <c r="F19" s="5">
        <v>207.9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3" t="s">
        <v>52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51</v>
      </c>
      <c r="E20" s="4">
        <v>60.0</v>
      </c>
      <c r="F20" s="5">
        <v>208.2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3" t="s">
        <v>52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51</v>
      </c>
      <c r="E21" s="4">
        <v>29.0</v>
      </c>
      <c r="F21" s="5">
        <v>2110.62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3" t="s">
        <v>52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51</v>
      </c>
      <c r="E22" s="4">
        <v>30.0</v>
      </c>
      <c r="F22" s="5">
        <v>2490.39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3" t="s">
        <v>52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51</v>
      </c>
      <c r="E23" s="4">
        <v>30.0</v>
      </c>
      <c r="F23" s="5">
        <v>2391.3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3" t="s">
        <v>52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51</v>
      </c>
      <c r="E24" s="4">
        <v>30.0</v>
      </c>
      <c r="F24" s="5">
        <v>2807.1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3" t="s">
        <v>52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1" t="s">
        <v>92</v>
      </c>
      <c r="B25" s="1"/>
      <c r="C25" s="1"/>
      <c r="D25" s="1"/>
      <c r="E25" s="1"/>
      <c r="F25" s="18">
        <f>SUM(F3:F25)</f>
        <v>12157619.304</v>
      </c>
      <c r="G25" s="1"/>
      <c r="H25" s="18">
        <f>SUM(H3:H25)</f>
        <v>8407487.298</v>
      </c>
      <c r="I25" s="1"/>
      <c r="J25" s="18">
        <f>SUM(J3:J25)</f>
        <v>0</v>
      </c>
      <c r="K25" s="1"/>
      <c r="L25" s="18">
        <f>SUM(L3:L25)</f>
        <v>14766866.720882</v>
      </c>
      <c r="M25" s="1"/>
      <c r="N25" s="1"/>
      <c r="O25" s="1"/>
      <c r="P25" s="1"/>
      <c r="Q25" s="1"/>
      <c r="R25" s="1"/>
      <c r="S25" s="18">
        <f>SUM(S3:S25)</f>
        <v>2477793.12</v>
      </c>
      <c r="T25" s="1"/>
      <c r="U25" s="1"/>
      <c r="V25" s="18">
        <f>SUM(V3:V25)</f>
        <v>12072668.693</v>
      </c>
      <c r="W25" s="1"/>
      <c r="X25" s="18">
        <f>SUM(X3:X25)</f>
        <v>17548643.049</v>
      </c>
      <c r="Y25" s="1"/>
      <c r="Z25" s="18">
        <f>SUM(Z3:Z25)</f>
        <v>5475974.356</v>
      </c>
      <c r="AA25" s="1"/>
      <c r="AB25" s="1"/>
      <c r="AC25" s="1"/>
      <c r="AD25" s="1"/>
      <c r="AE25" s="1"/>
      <c r="AF25" s="18">
        <f>SUM(AF3:AF25)</f>
        <v>0</v>
      </c>
      <c r="AG25" s="1"/>
      <c r="AH25" s="1"/>
      <c r="AI25" s="18">
        <f>SUM(AI3:AI25)</f>
        <v>3917.01</v>
      </c>
      <c r="AJ25" s="18">
        <f>SUM(AJ3:V25)</f>
        <v>70405755.075968</v>
      </c>
      <c r="AK25" s="1"/>
      <c r="AL25" s="18">
        <f>SUM(AL3:AL25)</f>
        <v>231688.16</v>
      </c>
      <c r="AM25" s="1"/>
      <c r="AN25" s="18">
        <f>SUM(AN3:AN25)</f>
        <v>93828.09</v>
      </c>
      <c r="AO25" s="1"/>
      <c r="AP25" s="1"/>
      <c r="AQ25" s="1"/>
      <c r="AR25" s="1"/>
      <c r="AS25" s="1"/>
      <c r="AT25" s="18">
        <f>SUM(AT3:AT25)</f>
        <v>0</v>
      </c>
      <c r="AU25" s="1"/>
      <c r="AV25" s="1"/>
      <c r="AW25" s="18">
        <f>SUM(AW3:AW25)</f>
        <v>3917.01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"/>
  <sheetViews>
    <sheetView tabSelected="0" workbookViewId="0" showGridLines="true" showRowColHeaders="1">
      <pane ySplit="1" topLeftCell="A2" activePane="bottomLeft" state="frozen"/>
      <selection pane="bottomLeft" activeCell="I11" sqref="I1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1</v>
      </c>
      <c r="G1" s="1" t="s">
        <v>2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102</v>
      </c>
      <c r="C2" s="3" t="s">
        <v>103</v>
      </c>
      <c r="D2" s="19">
        <v>44982.0</v>
      </c>
      <c r="E2" t="s">
        <v>104</v>
      </c>
      <c r="F2" s="3" t="s">
        <v>43</v>
      </c>
      <c r="G2" t="s">
        <v>44</v>
      </c>
      <c r="H2" s="3" t="s">
        <v>105</v>
      </c>
      <c r="I2" s="4">
        <v>1.0</v>
      </c>
      <c r="J2" t="s">
        <v>106</v>
      </c>
      <c r="K2" t="s">
        <v>107</v>
      </c>
      <c r="L2" t="s">
        <v>108</v>
      </c>
    </row>
    <row r="3" spans="1:36">
      <c r="A3" s="3">
        <v>2</v>
      </c>
      <c r="B3" t="s">
        <v>102</v>
      </c>
      <c r="C3" s="3" t="s">
        <v>109</v>
      </c>
      <c r="D3" s="19">
        <v>45132.0</v>
      </c>
      <c r="E3" t="s">
        <v>110</v>
      </c>
      <c r="F3" s="3" t="s">
        <v>43</v>
      </c>
      <c r="G3" t="s">
        <v>44</v>
      </c>
      <c r="H3" s="3" t="s">
        <v>105</v>
      </c>
      <c r="I3" s="4">
        <v>1.0</v>
      </c>
      <c r="J3" t="s">
        <v>106</v>
      </c>
      <c r="K3" t="s">
        <v>107</v>
      </c>
      <c r="L3" t="s">
        <v>111</v>
      </c>
    </row>
    <row r="4" spans="1:36">
      <c r="A4" s="3">
        <v>3</v>
      </c>
      <c r="B4" t="s">
        <v>102</v>
      </c>
      <c r="C4" s="3" t="s">
        <v>112</v>
      </c>
      <c r="D4" s="19">
        <v>45244.0</v>
      </c>
      <c r="E4" t="s">
        <v>104</v>
      </c>
      <c r="F4" s="3" t="s">
        <v>49</v>
      </c>
      <c r="G4" t="s">
        <v>50</v>
      </c>
      <c r="H4" s="3" t="s">
        <v>105</v>
      </c>
      <c r="I4" s="4">
        <v>1.0</v>
      </c>
      <c r="J4" t="s">
        <v>113</v>
      </c>
      <c r="K4" t="s">
        <v>107</v>
      </c>
      <c r="L4" t="s">
        <v>114</v>
      </c>
    </row>
    <row r="5" spans="1:36">
      <c r="A5" s="3">
        <v>4</v>
      </c>
      <c r="B5" t="s">
        <v>102</v>
      </c>
      <c r="C5" s="3" t="s">
        <v>115</v>
      </c>
      <c r="D5" s="19">
        <v>44980.0</v>
      </c>
      <c r="E5" t="s">
        <v>116</v>
      </c>
      <c r="F5" s="3" t="s">
        <v>46</v>
      </c>
      <c r="G5" t="s">
        <v>47</v>
      </c>
      <c r="H5" s="3" t="s">
        <v>105</v>
      </c>
      <c r="I5" s="4">
        <v>1.0</v>
      </c>
      <c r="J5" t="s">
        <v>113</v>
      </c>
      <c r="K5" t="s">
        <v>107</v>
      </c>
      <c r="L5" t="s">
        <v>117</v>
      </c>
    </row>
    <row r="6" spans="1:36">
      <c r="A6" s="3">
        <v>5</v>
      </c>
      <c r="B6" t="s">
        <v>118</v>
      </c>
      <c r="C6" s="3" t="s">
        <v>119</v>
      </c>
      <c r="D6" s="19">
        <v>45037.0</v>
      </c>
      <c r="E6" t="s">
        <v>120</v>
      </c>
      <c r="F6" s="3" t="s">
        <v>46</v>
      </c>
      <c r="G6" t="s">
        <v>47</v>
      </c>
      <c r="H6" s="3" t="s">
        <v>105</v>
      </c>
      <c r="I6" s="4">
        <v>1.0</v>
      </c>
      <c r="J6" t="s">
        <v>113</v>
      </c>
      <c r="K6" t="s">
        <v>121</v>
      </c>
      <c r="L6" t="s">
        <v>122</v>
      </c>
    </row>
    <row r="7" spans="1:36">
      <c r="A7" s="3">
        <v>6</v>
      </c>
      <c r="B7" t="s">
        <v>123</v>
      </c>
      <c r="C7" s="3" t="s">
        <v>124</v>
      </c>
      <c r="D7" s="19">
        <v>45113.0</v>
      </c>
      <c r="E7" t="s">
        <v>125</v>
      </c>
      <c r="F7" s="3" t="s">
        <v>46</v>
      </c>
      <c r="G7" t="s">
        <v>47</v>
      </c>
      <c r="H7" s="3" t="s">
        <v>105</v>
      </c>
      <c r="I7" s="4">
        <v>1.0</v>
      </c>
      <c r="J7" t="s">
        <v>106</v>
      </c>
      <c r="K7" t="s">
        <v>121</v>
      </c>
      <c r="L7" t="s">
        <v>126</v>
      </c>
    </row>
    <row r="8" spans="1:36">
      <c r="A8" s="3">
        <v>7</v>
      </c>
      <c r="B8" t="s">
        <v>102</v>
      </c>
      <c r="C8" s="3" t="s">
        <v>127</v>
      </c>
      <c r="D8" s="19">
        <v>45126.0</v>
      </c>
      <c r="E8" t="s">
        <v>128</v>
      </c>
      <c r="F8" s="3" t="s">
        <v>46</v>
      </c>
      <c r="G8" t="s">
        <v>47</v>
      </c>
      <c r="H8" s="3" t="s">
        <v>105</v>
      </c>
      <c r="I8" s="4">
        <v>1.0</v>
      </c>
      <c r="J8" t="s">
        <v>113</v>
      </c>
      <c r="K8" t="s">
        <v>107</v>
      </c>
      <c r="L8" t="s">
        <v>129</v>
      </c>
    </row>
    <row r="9" spans="1:36">
      <c r="A9" s="3">
        <v>8</v>
      </c>
      <c r="B9" t="s">
        <v>123</v>
      </c>
      <c r="C9" s="3" t="s">
        <v>130</v>
      </c>
      <c r="D9" s="19">
        <v>45142.0</v>
      </c>
      <c r="E9" t="s">
        <v>131</v>
      </c>
      <c r="F9" s="3" t="s">
        <v>46</v>
      </c>
      <c r="G9" t="s">
        <v>47</v>
      </c>
      <c r="H9" s="3" t="s">
        <v>105</v>
      </c>
      <c r="I9" s="4">
        <v>1.0</v>
      </c>
      <c r="J9" t="s">
        <v>106</v>
      </c>
      <c r="K9" t="s">
        <v>107</v>
      </c>
      <c r="L9" t="s">
        <v>132</v>
      </c>
    </row>
    <row r="10" spans="1:36">
      <c r="A10" s="3">
        <v>9</v>
      </c>
      <c r="B10" t="s">
        <v>102</v>
      </c>
      <c r="C10" s="3" t="s">
        <v>133</v>
      </c>
      <c r="D10" s="19">
        <v>45154.0</v>
      </c>
      <c r="E10" t="s">
        <v>134</v>
      </c>
      <c r="F10" s="3" t="s">
        <v>46</v>
      </c>
      <c r="G10" t="s">
        <v>47</v>
      </c>
      <c r="H10" s="3" t="s">
        <v>105</v>
      </c>
      <c r="I10" s="4">
        <v>1.0</v>
      </c>
      <c r="J10" t="s">
        <v>113</v>
      </c>
      <c r="K10" t="s">
        <v>107</v>
      </c>
      <c r="L10" t="s">
        <v>135</v>
      </c>
    </row>
    <row r="11" spans="1:36">
      <c r="A11" s="3">
        <v>10</v>
      </c>
      <c r="B11" t="s">
        <v>102</v>
      </c>
      <c r="C11" s="3" t="s">
        <v>112</v>
      </c>
      <c r="D11" s="19">
        <v>45244.0</v>
      </c>
      <c r="E11" t="s">
        <v>104</v>
      </c>
      <c r="F11" s="3" t="s">
        <v>46</v>
      </c>
      <c r="G11" t="s">
        <v>47</v>
      </c>
      <c r="H11" s="3" t="s">
        <v>105</v>
      </c>
      <c r="I11" s="4">
        <v>1.0</v>
      </c>
      <c r="J11" t="s">
        <v>106</v>
      </c>
      <c r="K11" t="s">
        <v>107</v>
      </c>
      <c r="L11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2024-01-12T08:32:14+07:00</dcterms:created>
  <dcterms:modified xsi:type="dcterms:W3CDTF">2024-01-12T08:32:14+07:00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