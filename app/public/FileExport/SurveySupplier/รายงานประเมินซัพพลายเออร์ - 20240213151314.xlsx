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<sst xmlns="http://schemas.openxmlformats.org/spreadsheetml/2006/main" uniqueCount="79">
  <si>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</si>
  <si>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</si>
  <si>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</si>
  <si>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</si>
  <si>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</si>
  <si>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</si>
  <si>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</si>
  <si>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</si>
  <si>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</si>
  <si>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</si>
  <si>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</si>
  <si>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</si>
  <si>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</si>
  <si>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</si>
  <si>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</si>
  <si>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</si>
  <si>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</si>
  <si>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</si>
  <si>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</si>
  <si>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</si>
  <si>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</si>
  <si>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</si>
  <si>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</si>
  <si>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</si>
  <si>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</si>
  <si>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</si>
  <si>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</si>
  <si>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</si>
  <si>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</si>
  <si>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</si>
  <si>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</si>
  <si>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</si>
  <si>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</si>
  <si>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</si>
  <si>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</si>
  <si>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</si>
  <si>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</si>
  <si>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</si>
  <si>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</si>
  <si>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</si>
  <si>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</si>
  <si>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</si>
  <si>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</si>
  <si>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03-103-003</t>
  </si>
  <si>
    <t>เทปกาวอเนกประสงค์ EUROX 4"x5 m.</t>
  </si>
  <si>
    <t>A</t>
  </si>
  <si>
    <t>03-103-002</t>
  </si>
  <si>
    <t>เทปกาวอเนกประสงค์ EUROX 2"x5 m.</t>
  </si>
  <si>
    <t>03-101-120</t>
  </si>
  <si>
    <t>กาวร้อน EUROX 20G</t>
  </si>
  <si>
    <t>09-020-010</t>
  </si>
  <si>
    <t>ปืนยิงกาวแท่งเล็ก</t>
  </si>
  <si>
    <t>09-020-611</t>
  </si>
  <si>
    <t>กาวแท่งใหญ่(จัดซื้อ)</t>
  </si>
  <si>
    <t>DEAD</t>
  </si>
  <si>
    <t>09-020-011</t>
  </si>
  <si>
    <t>กาวแท่งเล็ก(จัดซื้อ)</t>
  </si>
  <si>
    <t>03-103-001</t>
  </si>
  <si>
    <t>กาวตะปู EUROX สำหรับผิวมัน (280g.)</t>
  </si>
  <si>
    <t>M</t>
  </si>
  <si>
    <t>09-020-020</t>
  </si>
  <si>
    <t>ปืนยิงกาวแท่งใหญ่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</si>
  <si>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</si>
  <si>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</si>
  <si>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</si>
  <si>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</si>
  <si>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</si>
  <si>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</si>
  <si>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</si>
  <si>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</si>
  <si>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</si>
  <si>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</si>
  <si>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</si>
  <si>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PE-66031021</t>
  </si>
  <si>
    <t>C-01160 - ฉลองคอนกรีตอิฐโชว์</t>
  </si>
  <si>
    <t>WP5</t>
  </si>
  <si>
    <t>ตัว</t>
  </si>
  <si>
    <t>ชำรุดจากโรงงาน</t>
  </si>
  <si>
    <t>วงจรเสีย หัวปืนไม่ร้อน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</si>
</sst>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" sqref="AW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42912.0</v>
      </c>
      <c r="F3" s="5">
        <v>2295792.0</v>
      </c>
      <c r="G3" s="4">
        <v>11088.0</v>
      </c>
      <c r="H3" s="5">
        <v>545751.36</v>
      </c>
      <c r="I3" s="6">
        <v>0</v>
      </c>
      <c r="J3" s="6">
        <v>0</v>
      </c>
      <c r="K3" s="4">
        <v>12812.545452</v>
      </c>
      <c r="L3" s="5">
        <v>630633.487147</v>
      </c>
      <c r="M3" s="7">
        <v>0.13459819194092</v>
      </c>
      <c r="N3" s="4">
        <v>10339.0</v>
      </c>
      <c r="O3" s="4">
        <v>915.181818</v>
      </c>
      <c r="P3" s="4">
        <v>436.0</v>
      </c>
      <c r="Q3" s="4">
        <v>368.0</v>
      </c>
      <c r="R3" s="4">
        <v>1947.0</v>
      </c>
      <c r="S3" s="5">
        <v>95831.34</v>
      </c>
      <c r="T3" s="4">
        <v>1718.0</v>
      </c>
      <c r="U3" s="8">
        <v>1.1332945285215</v>
      </c>
      <c r="V3" s="5">
        <v>496260.06</v>
      </c>
      <c r="W3" s="5">
        <v>47.998845149434</v>
      </c>
      <c r="X3" s="5">
        <v>1000712.146</v>
      </c>
      <c r="Y3" s="5">
        <v>96.790032498307</v>
      </c>
      <c r="Z3" s="5">
        <v>504452.086</v>
      </c>
      <c r="AA3" s="5">
        <v>48.791187348873</v>
      </c>
      <c r="AB3" s="9">
        <v>0.50409309811655</v>
      </c>
      <c r="AC3" s="4">
        <v>10339.0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23326.0</v>
      </c>
      <c r="AK3" s="5">
        <v>53.5</v>
      </c>
      <c r="AL3" s="5">
        <v>43322.698</v>
      </c>
      <c r="AM3" s="5">
        <v>99.363986238532</v>
      </c>
      <c r="AN3" s="5">
        <v>19996.698</v>
      </c>
      <c r="AO3" s="5">
        <v>45.863986238532</v>
      </c>
      <c r="AP3" s="9">
        <v>0.46157554637987</v>
      </c>
      <c r="AQ3" s="4">
        <v>436.0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50904.0</v>
      </c>
      <c r="F4" s="5">
        <v>1361682.0</v>
      </c>
      <c r="G4" s="4">
        <v>21096.0</v>
      </c>
      <c r="H4" s="5">
        <v>522408.24</v>
      </c>
      <c r="I4" s="6">
        <v>0</v>
      </c>
      <c r="J4" s="6">
        <v>0</v>
      </c>
      <c r="K4" s="4">
        <v>14248.181808</v>
      </c>
      <c r="L4" s="5">
        <v>350647.754295</v>
      </c>
      <c r="M4" s="10">
        <v>-0.48060996724193</v>
      </c>
      <c r="N4" s="4">
        <v>11371.0</v>
      </c>
      <c r="O4" s="4">
        <v>1017.727272</v>
      </c>
      <c r="P4" s="4">
        <v>369.0</v>
      </c>
      <c r="Q4" s="4">
        <v>387.0</v>
      </c>
      <c r="R4" s="4">
        <v>3679.0</v>
      </c>
      <c r="S4" s="5">
        <v>90540.19</v>
      </c>
      <c r="T4" s="4">
        <v>1837.333333</v>
      </c>
      <c r="U4" s="8">
        <v>2.0023584909293</v>
      </c>
      <c r="V4" s="5">
        <v>270373.496</v>
      </c>
      <c r="W4" s="5">
        <v>23.777459854015</v>
      </c>
      <c r="X4" s="5">
        <v>639286.079</v>
      </c>
      <c r="Y4" s="5">
        <v>56.220743909946</v>
      </c>
      <c r="Z4" s="5">
        <v>368912.583</v>
      </c>
      <c r="AA4" s="5">
        <v>32.443284055932</v>
      </c>
      <c r="AB4" s="9">
        <v>0.5770696330148</v>
      </c>
      <c r="AC4" s="4">
        <v>11371.0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10516.5</v>
      </c>
      <c r="AK4" s="5">
        <v>28.5</v>
      </c>
      <c r="AL4" s="5">
        <v>21996.029</v>
      </c>
      <c r="AM4" s="5">
        <v>59.609834688347</v>
      </c>
      <c r="AN4" s="5">
        <v>11479.529</v>
      </c>
      <c r="AO4" s="5">
        <v>31.109834688347</v>
      </c>
      <c r="AP4" s="9">
        <v>0.52189097404809</v>
      </c>
      <c r="AQ4" s="4">
        <v>369.0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54000.0</v>
      </c>
      <c r="F5" s="5">
        <v>433350.0</v>
      </c>
      <c r="G5" s="4">
        <v>33000.0</v>
      </c>
      <c r="H5" s="5">
        <v>264825.0</v>
      </c>
      <c r="I5" s="4">
        <v>3000.0</v>
      </c>
      <c r="J5" s="5">
        <v>24075.0</v>
      </c>
      <c r="K5" s="4">
        <v>41656.36363</v>
      </c>
      <c r="L5" s="5">
        <v>334292.318131</v>
      </c>
      <c r="M5" s="7">
        <v>0.20780411144111</v>
      </c>
      <c r="N5" s="4">
        <v>34831.0</v>
      </c>
      <c r="O5" s="4">
        <v>2975.454545</v>
      </c>
      <c r="P5" s="4">
        <v>2102.0</v>
      </c>
      <c r="Q5" s="4">
        <v>1101.0</v>
      </c>
      <c r="R5" s="4">
        <v>4763.0</v>
      </c>
      <c r="S5" s="5">
        <v>38223.075</v>
      </c>
      <c r="T5" s="4">
        <v>5166.0</v>
      </c>
      <c r="U5" s="8">
        <v>0.92198993418506</v>
      </c>
      <c r="V5" s="5">
        <v>261232.5</v>
      </c>
      <c r="W5" s="5">
        <v>7.5</v>
      </c>
      <c r="X5" s="5">
        <v>550903.263</v>
      </c>
      <c r="Y5" s="5">
        <v>15.816464155494</v>
      </c>
      <c r="Z5" s="5">
        <v>289670.763</v>
      </c>
      <c r="AA5" s="5">
        <v>8.3164641554937</v>
      </c>
      <c r="AB5" s="9">
        <v>0.52581057774566</v>
      </c>
      <c r="AC5" s="4">
        <v>34831.0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15765.0</v>
      </c>
      <c r="AK5" s="5">
        <v>7.5</v>
      </c>
      <c r="AL5" s="5">
        <v>34543.584</v>
      </c>
      <c r="AM5" s="5">
        <v>16.433674595623</v>
      </c>
      <c r="AN5" s="5">
        <v>18778.584</v>
      </c>
      <c r="AO5" s="5">
        <v>8.9336745956232</v>
      </c>
      <c r="AP5" s="9">
        <v>0.54362002506746</v>
      </c>
      <c r="AQ5" s="4">
        <v>2102.0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552.0</v>
      </c>
      <c r="F6" s="5">
        <v>31894.56</v>
      </c>
      <c r="G6" s="4">
        <v>1056.0</v>
      </c>
      <c r="H6" s="5">
        <v>61015.68</v>
      </c>
      <c r="I6" s="4">
        <v>1056.0</v>
      </c>
      <c r="J6" s="5">
        <v>58755.84</v>
      </c>
      <c r="K6" s="4">
        <v>1766.545452</v>
      </c>
      <c r="L6" s="5">
        <v>98290.588949</v>
      </c>
      <c r="M6" s="7">
        <v>0.4022231362321</v>
      </c>
      <c r="N6" s="4">
        <v>1450.0</v>
      </c>
      <c r="O6" s="4">
        <v>126.181818</v>
      </c>
      <c r="P6" s="4">
        <v>201.0</v>
      </c>
      <c r="Q6" s="4">
        <v>200.0</v>
      </c>
      <c r="R6" s="4">
        <v>858.0</v>
      </c>
      <c r="S6" s="5">
        <v>47739.12</v>
      </c>
      <c r="T6" s="4">
        <v>246.333333</v>
      </c>
      <c r="U6" s="8">
        <v>3.4830852550515</v>
      </c>
      <c r="V6" s="5">
        <v>77425.453</v>
      </c>
      <c r="W6" s="5">
        <v>53.396864137931</v>
      </c>
      <c r="X6" s="5">
        <v>166888.842</v>
      </c>
      <c r="Y6" s="5">
        <v>115.09575310345</v>
      </c>
      <c r="Z6" s="5">
        <v>89463.389</v>
      </c>
      <c r="AA6" s="5">
        <v>61.698888965517</v>
      </c>
      <c r="AB6" s="9">
        <v>0.53606573050582</v>
      </c>
      <c r="AC6" s="4">
        <v>1450.0</v>
      </c>
      <c r="AD6" s="4">
        <v>1.0</v>
      </c>
      <c r="AE6" s="4">
        <v>1.0</v>
      </c>
      <c r="AF6" s="6">
        <v>0</v>
      </c>
      <c r="AG6" s="11">
        <v>0.00068965517241379</v>
      </c>
      <c r="AH6" s="6">
        <v>0</v>
      </c>
      <c r="AI6" s="6">
        <v>0</v>
      </c>
      <c r="AJ6" s="5">
        <v>10464.001</v>
      </c>
      <c r="AK6" s="5">
        <v>52.059706467662</v>
      </c>
      <c r="AL6" s="5">
        <v>23302.603</v>
      </c>
      <c r="AM6" s="5">
        <v>115.93334825871</v>
      </c>
      <c r="AN6" s="5">
        <v>12838.602</v>
      </c>
      <c r="AO6" s="5">
        <v>63.873641791045</v>
      </c>
      <c r="AP6" s="9">
        <v>0.55095141087886</v>
      </c>
      <c r="AQ6" s="4">
        <v>201.0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/>
      <c r="E7" s="4">
        <v>4752.0</v>
      </c>
      <c r="F7" s="5">
        <v>19045.722</v>
      </c>
      <c r="G7" s="4">
        <v>3369.0</v>
      </c>
      <c r="H7" s="5">
        <v>13909.724</v>
      </c>
      <c r="I7" s="4">
        <v>1720.0</v>
      </c>
      <c r="J7" s="5">
        <v>6955.68</v>
      </c>
      <c r="K7" s="6">
        <v>0</v>
      </c>
      <c r="L7" s="6">
        <v>0</v>
      </c>
      <c r="M7" s="12">
        <v>0</v>
      </c>
      <c r="N7" s="6">
        <v>0</v>
      </c>
      <c r="O7" s="6">
        <v>0</v>
      </c>
      <c r="P7" s="6">
        <v>0</v>
      </c>
      <c r="Q7" s="6">
        <v>0</v>
      </c>
      <c r="R7" s="4">
        <v>1806.0</v>
      </c>
      <c r="S7" s="5">
        <v>7303.464</v>
      </c>
      <c r="T7" s="6">
        <v>0</v>
      </c>
      <c r="U7" s="13" t="s">
        <v>54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55</v>
      </c>
      <c r="C8" t="s">
        <v>56</v>
      </c>
      <c r="D8" s="3"/>
      <c r="E8" s="4">
        <v>7652.0</v>
      </c>
      <c r="F8" s="5">
        <v>5134.492</v>
      </c>
      <c r="G8" s="4">
        <v>4225.0</v>
      </c>
      <c r="H8" s="5">
        <v>3477.175</v>
      </c>
      <c r="I8" s="6">
        <v>0</v>
      </c>
      <c r="J8" s="6">
        <v>0</v>
      </c>
      <c r="K8" s="6">
        <v>0</v>
      </c>
      <c r="L8" s="6">
        <v>0</v>
      </c>
      <c r="M8" s="12">
        <v>0</v>
      </c>
      <c r="N8" s="6">
        <v>0</v>
      </c>
      <c r="O8" s="6">
        <v>0</v>
      </c>
      <c r="P8" s="6">
        <v>0</v>
      </c>
      <c r="Q8" s="6">
        <v>0</v>
      </c>
      <c r="R8" s="4">
        <v>4382.0</v>
      </c>
      <c r="S8" s="5">
        <v>3606.386</v>
      </c>
      <c r="T8" s="6">
        <v>0</v>
      </c>
      <c r="U8" s="13" t="s">
        <v>54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3">
        <v>0</v>
      </c>
      <c r="AC8" s="6">
        <v>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57</v>
      </c>
      <c r="C9" t="s">
        <v>58</v>
      </c>
      <c r="D9" s="3" t="s">
        <v>59</v>
      </c>
      <c r="E9" s="4">
        <v>480.0</v>
      </c>
      <c r="F9" s="5">
        <v>23112.0</v>
      </c>
      <c r="G9" s="6">
        <v>0</v>
      </c>
      <c r="H9" s="6">
        <v>0</v>
      </c>
      <c r="I9" s="6">
        <v>0</v>
      </c>
      <c r="J9" s="6">
        <v>0</v>
      </c>
      <c r="K9" s="4">
        <v>772.545452</v>
      </c>
      <c r="L9" s="5">
        <v>34764.54534</v>
      </c>
      <c r="M9" s="7">
        <v>1.0</v>
      </c>
      <c r="N9" s="4">
        <v>607.0</v>
      </c>
      <c r="O9" s="4">
        <v>55.181818</v>
      </c>
      <c r="P9" s="6">
        <v>0</v>
      </c>
      <c r="Q9" s="6">
        <v>0</v>
      </c>
      <c r="R9" s="4">
        <v>66.0</v>
      </c>
      <c r="S9" s="5">
        <v>2970.0</v>
      </c>
      <c r="T9" s="4">
        <v>13.833333</v>
      </c>
      <c r="U9" s="14">
        <v>4.7710844523153</v>
      </c>
      <c r="V9" s="5">
        <v>27371.728</v>
      </c>
      <c r="W9" s="5">
        <v>45.093456342669</v>
      </c>
      <c r="X9" s="5">
        <v>30660.994</v>
      </c>
      <c r="Y9" s="5">
        <v>50.512345963756</v>
      </c>
      <c r="Z9" s="5">
        <v>3289.266</v>
      </c>
      <c r="AA9" s="5">
        <v>5.4188896210873</v>
      </c>
      <c r="AB9" s="15">
        <v>0.10727851810675</v>
      </c>
      <c r="AC9" s="4">
        <v>607.0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1000.0</v>
      </c>
      <c r="F10" s="5">
        <v>96300.0</v>
      </c>
      <c r="G10" s="6">
        <v>0</v>
      </c>
      <c r="H10" s="6">
        <v>0</v>
      </c>
      <c r="I10" s="6">
        <v>0</v>
      </c>
      <c r="J10" s="6">
        <v>0</v>
      </c>
      <c r="K10" s="4">
        <v>915.090904</v>
      </c>
      <c r="L10" s="5">
        <v>88123.254055</v>
      </c>
      <c r="M10" s="7">
        <v>1.0</v>
      </c>
      <c r="N10" s="4">
        <v>759.0</v>
      </c>
      <c r="O10" s="4">
        <v>65.363636</v>
      </c>
      <c r="P10" s="4">
        <v>60.0</v>
      </c>
      <c r="Q10" s="4">
        <v>48.0</v>
      </c>
      <c r="R10" s="4">
        <v>3.0</v>
      </c>
      <c r="S10" s="5">
        <v>288.9</v>
      </c>
      <c r="T10" s="4">
        <v>125.0</v>
      </c>
      <c r="U10" s="8">
        <v>0.024</v>
      </c>
      <c r="V10" s="5">
        <v>64219.618</v>
      </c>
      <c r="W10" s="5">
        <v>84.61082740448</v>
      </c>
      <c r="X10" s="5">
        <v>124659.747</v>
      </c>
      <c r="Y10" s="5">
        <v>164.24209090909</v>
      </c>
      <c r="Z10" s="5">
        <v>60440.129</v>
      </c>
      <c r="AA10" s="5">
        <v>79.631263504611</v>
      </c>
      <c r="AB10" s="9">
        <v>0.48484078023999</v>
      </c>
      <c r="AC10" s="4">
        <v>759.0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5058.894</v>
      </c>
      <c r="AK10" s="5">
        <v>84.3149</v>
      </c>
      <c r="AL10" s="5">
        <v>9711.22</v>
      </c>
      <c r="AM10" s="5">
        <v>161.85366666667</v>
      </c>
      <c r="AN10" s="5">
        <v>4652.326</v>
      </c>
      <c r="AO10" s="5">
        <v>77.538766666667</v>
      </c>
      <c r="AP10" s="9">
        <v>0.47906709970529</v>
      </c>
      <c r="AQ10" s="4">
        <v>60.0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1" t="s">
        <v>62</v>
      </c>
      <c r="B11" s="1"/>
      <c r="C11" s="1"/>
      <c r="D11" s="1"/>
      <c r="E11" s="1"/>
      <c r="F11" s="16">
        <f>SUM(F3:F11)</f>
        <v>4266310.774</v>
      </c>
      <c r="G11" s="1"/>
      <c r="H11" s="16">
        <f>SUM(H3:H11)</f>
        <v>1411387.179</v>
      </c>
      <c r="I11" s="1"/>
      <c r="J11" s="16">
        <f>SUM(J3:J11)</f>
        <v>89786.52</v>
      </c>
      <c r="K11" s="1"/>
      <c r="L11" s="16">
        <f>SUM(L3:L11)</f>
        <v>1536751.947917</v>
      </c>
      <c r="M11" s="1"/>
      <c r="N11" s="1"/>
      <c r="O11" s="1"/>
      <c r="P11" s="1"/>
      <c r="Q11" s="1"/>
      <c r="R11" s="1"/>
      <c r="S11" s="16">
        <f>SUM(S3:S11)</f>
        <v>286502.475</v>
      </c>
      <c r="T11" s="1"/>
      <c r="U11" s="1"/>
      <c r="V11" s="16">
        <f>SUM(V3:V11)</f>
        <v>1196882.855</v>
      </c>
      <c r="W11" s="1"/>
      <c r="X11" s="16">
        <f>SUM(X3:X11)</f>
        <v>2513111.071</v>
      </c>
      <c r="Y11" s="1"/>
      <c r="Z11" s="16">
        <f>SUM(Z3:Z11)</f>
        <v>1316228.216</v>
      </c>
      <c r="AA11" s="1"/>
      <c r="AB11" s="1"/>
      <c r="AC11" s="1"/>
      <c r="AD11" s="1"/>
      <c r="AE11" s="1"/>
      <c r="AF11" s="16">
        <f>SUM(AF3:AF11)</f>
        <v>0</v>
      </c>
      <c r="AG11" s="1"/>
      <c r="AH11" s="1"/>
      <c r="AI11" s="16">
        <f>SUM(AI3:AI11)</f>
        <v>0</v>
      </c>
      <c r="AJ11" s="16">
        <f>SUM(AJ3:V11)</f>
        <v>10177933.769709</v>
      </c>
      <c r="AK11" s="1"/>
      <c r="AL11" s="16">
        <f>SUM(AL3:AL11)</f>
        <v>132876.134</v>
      </c>
      <c r="AM11" s="1"/>
      <c r="AN11" s="16">
        <f>SUM(AN3:AN11)</f>
        <v>67745.739</v>
      </c>
      <c r="AO11" s="1"/>
      <c r="AP11" s="1"/>
      <c r="AQ11" s="1"/>
      <c r="AR11" s="1"/>
      <c r="AS11" s="1"/>
      <c r="AT11" s="16">
        <f>SUM(AT3:AT11)</f>
        <v>0</v>
      </c>
      <c r="AU11" s="1"/>
      <c r="AV11" s="1"/>
      <c r="AW11" s="16">
        <f>SUM(AW3:AW11)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72</v>
      </c>
      <c r="C2" s="3" t="s">
        <v>73</v>
      </c>
      <c r="D2" s="17">
        <v>44987.0</v>
      </c>
      <c r="E2" t="s">
        <v>74</v>
      </c>
      <c r="F2" s="3" t="s">
        <v>50</v>
      </c>
      <c r="G2" t="s">
        <v>51</v>
      </c>
      <c r="H2" s="3" t="s">
        <v>75</v>
      </c>
      <c r="I2" s="4">
        <v>1.0</v>
      </c>
      <c r="J2" t="s">
        <v>76</v>
      </c>
      <c r="K2" t="s">
        <v>77</v>
      </c>
      <c r="L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2024-02-13T15:13:13+07:00</dcterms:created>
  <dcterms:modified xsi:type="dcterms:W3CDTF">2024-02-13T15:13:13+07:00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