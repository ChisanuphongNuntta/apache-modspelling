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<sst xmlns="http://schemas.openxmlformats.org/spreadsheetml/2006/main" uniqueCount="104">
  <si>
    <t>ลำดับ</t>
  </si>
  <si>
    <t>รหัสสินค้า</t>
  </si>
  <si>
    <t>ชื่อสินค้า</t>
  </si>
  <si>
    <t>สถานะ</t>
  </si>
  <si>
    <t>ยอดซื้อ 2022</t>
  </si>
  <si>
    <t>จำนวน
(หน่วย)</t>
  </si>
  <si>
    <t>มูลค่า
(THB)</t>
  </si>
  <si>
    <t>ยอดซื้อ 2023</t>
  </si>
  <si>
    <t>ยอดซื้อจริง 2024</t>
  </si>
  <si>
    <t>ประมาณการสั่งซื้อ 2024</t>
  </si>
  <si>
    <t>Growth
(%)</t>
  </si>
  <si>
    <t>ยอดขาย 2023</t>
  </si>
  <si>
    <t>รวมทั้งหมด
(หน่วย)</t>
  </si>
  <si>
    <t>เฉลี่ยต่อเดือน
(หน่วย)</t>
  </si>
  <si>
    <t>ยอดขาย 2024</t>
  </si>
  <si>
    <t>สินค้าคงคลัง 12/01/2024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</si>
  <si>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</si>
  <si>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</si>
  <si>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</si>
  <si>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</si>
  <si>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2023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</si>
  <si>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</si>
  <si>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</si>
  <si>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</si>
  <si>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</si>
  <si>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</si>
  <si>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</si>
  <si>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</si>
  <si>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</si>
  <si>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</si>
  <si>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</si>
  <si>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</si>
  <si>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</si>
  <si>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</si>
  <si>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รอเคลมซัพฯ
(หน่วย)</t>
  </si>
  <si>
    <t>มูลค่ารอเคลมซัพฯ
(THB)</t>
  </si>
  <si>
    <t>วิเคราะห์การขาย 2024</t>
  </si>
  <si>
    <t>ข้อมูลการเคลมสินค้า 2024</t>
  </si>
  <si>
    <t>ยอดขาย 2024
(หน่วย)</t>
  </si>
  <si>
    <t>คืนเพื่อเคลมซัพฯ
2024 (หน่วย)</t>
  </si>
  <si>
    <t>เคลมซัพฯ แล้ว
2024 (หน่วย)</t>
  </si>
  <si>
    <t>มูลค่าการเคลม
2024 (THB)</t>
  </si>
  <si>
    <t>% การเคลม
2024</t>
  </si>
  <si>
    <t>01-310-005</t>
  </si>
  <si>
    <t>ตะปู F30 EUROX</t>
  </si>
  <si>
    <t>A</t>
  </si>
  <si>
    <t>01-310-022</t>
  </si>
  <si>
    <t>ตะปู 1010 EUROX</t>
  </si>
  <si>
    <t>01-310-020</t>
  </si>
  <si>
    <t>ตะปู 1006 EUROX</t>
  </si>
  <si>
    <t>01-310-004</t>
  </si>
  <si>
    <t>ตะปู F25 EUROX</t>
  </si>
  <si>
    <t>01-310-003</t>
  </si>
  <si>
    <t>ตะปู F20 EUROX</t>
  </si>
  <si>
    <t>01-310-021</t>
  </si>
  <si>
    <t>ตะปู 1008 EUROX</t>
  </si>
  <si>
    <t>01-310-009</t>
  </si>
  <si>
    <t>ตะปู F50 EUROX</t>
  </si>
  <si>
    <t>01-310-026</t>
  </si>
  <si>
    <t>ตะปู 1022 EUROX</t>
  </si>
  <si>
    <t>01-310-002</t>
  </si>
  <si>
    <t>ตะปู F15 EUROX</t>
  </si>
  <si>
    <t>01-310-007</t>
  </si>
  <si>
    <t>ตะปู F40 EUROX</t>
  </si>
  <si>
    <t>01-310-024</t>
  </si>
  <si>
    <t>ตะปู 1016 EUROX</t>
  </si>
  <si>
    <t>01-310-023</t>
  </si>
  <si>
    <t>ตะปู 1013 EUROX</t>
  </si>
  <si>
    <t>01-310-006</t>
  </si>
  <si>
    <t>ตะปู F35 EUROX</t>
  </si>
  <si>
    <t>01-310-025</t>
  </si>
  <si>
    <t>ตะปู 1019 EUROX</t>
  </si>
  <si>
    <t>01-310-008</t>
  </si>
  <si>
    <t>ตะปู F45 EUROX</t>
  </si>
  <si>
    <t>01-310-160</t>
  </si>
  <si>
    <t>ตะปู T50 EUROX</t>
  </si>
  <si>
    <t>01-310-140</t>
  </si>
  <si>
    <t>ตะปู T38 EUROX</t>
  </si>
  <si>
    <t>01-310-130</t>
  </si>
  <si>
    <t>ตะปู T32 EUROX</t>
  </si>
  <si>
    <t>01-310-150</t>
  </si>
  <si>
    <t>ตะปู T45 EUROX</t>
  </si>
  <si>
    <t>01-310-120</t>
  </si>
  <si>
    <t>ตะปู T25 EUROX</t>
  </si>
  <si>
    <t>01-310-001</t>
  </si>
  <si>
    <t>ตะปู F10 EUROX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</si>
  <si>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</si>
  <si>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</si>
  <si>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</si>
  <si>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</si>
  <si>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</si>
  <si>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</si>
  <si>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</si>
  <si>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</si>
  <si>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</si>
  <si>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</si>
  <si>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ฝ่ายขายหน้าร้าน</t>
  </si>
  <si>
    <t>PE-66051001</t>
  </si>
  <si>
    <t>C-01059 - คิงเนลเลอร์ จำกัด</t>
  </si>
  <si>
    <t>WP5</t>
  </si>
  <si>
    <t>กล่อง</t>
  </si>
  <si>
    <t>ชำรุดจากโรงงาน</t>
  </si>
  <si>
    <t>PE-67011002</t>
  </si>
  <si>
    <t>แตก1กล่อง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</si>
</sst>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5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dc3545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3cd"/>
        <bgColor rgb="FF000000"/>
      </patternFill>
    </fill>
    <fill>
      <patternFill patternType="solid">
        <fgColor rgb="ffd1e7dd"/>
        <bgColor rgb="FF000000"/>
      </patternFill>
    </fill>
    <fill>
      <patternFill patternType="solid">
        <fgColor rgb="fff8d7da"/>
        <bgColor rgb="FF000000"/>
      </patternFill>
    </fill>
  </fills>
  <borders count="1">
    <border/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3" borderId="0" applyFont="1" applyNumberFormat="1" applyFill="1" applyBorder="0" applyAlignment="1">
      <alignment horizontal="center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2" numFmtId="164" fillId="3" borderId="0" applyFont="1" applyNumberFormat="1" applyFill="1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24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24" sqref="AW24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59160.0</v>
      </c>
      <c r="F3" s="5">
        <v>3482602.32</v>
      </c>
      <c r="G3" s="4">
        <v>43944.0</v>
      </c>
      <c r="H3" s="5">
        <v>2264028.0</v>
      </c>
      <c r="I3" s="6">
        <v>0</v>
      </c>
      <c r="J3" s="6">
        <v>0</v>
      </c>
      <c r="K3" s="4">
        <v>151292.909082</v>
      </c>
      <c r="L3" s="5">
        <v>7640291.908641</v>
      </c>
      <c r="M3" s="7">
        <v>0.70954355847449</v>
      </c>
      <c r="N3" s="4">
        <v>124698.0</v>
      </c>
      <c r="O3" s="4">
        <v>10806.636363</v>
      </c>
      <c r="P3" s="4">
        <v>2674.0</v>
      </c>
      <c r="Q3" s="6">
        <v>0</v>
      </c>
      <c r="R3" s="4">
        <v>8402.0</v>
      </c>
      <c r="S3" s="5">
        <v>424301.0</v>
      </c>
      <c r="T3" s="4">
        <v>20444.333333</v>
      </c>
      <c r="U3" s="8">
        <v>0.41096962484162</v>
      </c>
      <c r="V3" s="5">
        <v>6623772.305</v>
      </c>
      <c r="W3" s="5">
        <v>53.118512766845</v>
      </c>
      <c r="X3" s="5">
        <v>9813324.093</v>
      </c>
      <c r="Y3" s="5">
        <v>78.696724029255</v>
      </c>
      <c r="Z3" s="5">
        <v>3189551.788</v>
      </c>
      <c r="AA3" s="5">
        <v>25.57821126241</v>
      </c>
      <c r="AB3" s="9">
        <v>0.32502256704995</v>
      </c>
      <c r="AC3" s="4">
        <v>124698.0</v>
      </c>
      <c r="AD3" s="6">
        <v>0</v>
      </c>
      <c r="AE3" s="6">
        <v>0</v>
      </c>
      <c r="AF3" s="6">
        <v>0</v>
      </c>
      <c r="AG3" s="3">
        <v>0</v>
      </c>
      <c r="AH3" s="6">
        <v>0</v>
      </c>
      <c r="AI3" s="6">
        <v>0</v>
      </c>
      <c r="AJ3" s="5">
        <v>133096.278</v>
      </c>
      <c r="AK3" s="5">
        <v>49.77422513089</v>
      </c>
      <c r="AL3" s="5">
        <v>205187.014</v>
      </c>
      <c r="AM3" s="5">
        <v>76.73411144353</v>
      </c>
      <c r="AN3" s="5">
        <v>72090.736</v>
      </c>
      <c r="AO3" s="5">
        <v>26.95988631264</v>
      </c>
      <c r="AP3" s="9">
        <v>0.35134161073176</v>
      </c>
      <c r="AQ3" s="4">
        <v>2674.0</v>
      </c>
      <c r="AR3" s="6">
        <v>0</v>
      </c>
      <c r="AS3" s="6">
        <v>0</v>
      </c>
      <c r="AT3" s="6">
        <v>0</v>
      </c>
      <c r="AU3" s="3">
        <v>0</v>
      </c>
      <c r="AV3" s="6">
        <v>0</v>
      </c>
      <c r="AW3" s="6">
        <v>0</v>
      </c>
    </row>
    <row r="4" spans="1:49">
      <c r="A4" s="3">
        <v>2</v>
      </c>
      <c r="B4" s="3" t="s">
        <v>46</v>
      </c>
      <c r="C4" t="s">
        <v>47</v>
      </c>
      <c r="D4" s="3" t="s">
        <v>45</v>
      </c>
      <c r="E4" s="4">
        <v>30250.0</v>
      </c>
      <c r="F4" s="5">
        <v>1075790.0</v>
      </c>
      <c r="G4" s="4">
        <v>48750.0</v>
      </c>
      <c r="H4" s="5">
        <v>1338430.0</v>
      </c>
      <c r="I4" s="6">
        <v>0</v>
      </c>
      <c r="J4" s="6">
        <v>0</v>
      </c>
      <c r="K4" s="4">
        <v>52713.818178</v>
      </c>
      <c r="L4" s="5">
        <v>1408513.221716</v>
      </c>
      <c r="M4" s="7">
        <v>0.075195049704335</v>
      </c>
      <c r="N4" s="4">
        <v>43647.0</v>
      </c>
      <c r="O4" s="4">
        <v>3765.272727</v>
      </c>
      <c r="P4" s="4">
        <v>1055.0</v>
      </c>
      <c r="Q4" s="6">
        <v>0</v>
      </c>
      <c r="R4" s="4">
        <v>17016.0</v>
      </c>
      <c r="S4" s="5">
        <v>454667.52</v>
      </c>
      <c r="T4" s="4">
        <v>7176.333333</v>
      </c>
      <c r="U4" s="8">
        <v>2.3711273167528</v>
      </c>
      <c r="V4" s="5">
        <v>1319206.77</v>
      </c>
      <c r="W4" s="5">
        <v>30.224454601691</v>
      </c>
      <c r="X4" s="5">
        <v>2161285.429</v>
      </c>
      <c r="Y4" s="5">
        <v>49.51738788462</v>
      </c>
      <c r="Z4" s="5">
        <v>842078.659</v>
      </c>
      <c r="AA4" s="5">
        <v>19.292933282929</v>
      </c>
      <c r="AB4" s="9">
        <v>0.38961936618877</v>
      </c>
      <c r="AC4" s="4">
        <v>43647.0</v>
      </c>
      <c r="AD4" s="6">
        <v>0</v>
      </c>
      <c r="AE4" s="6">
        <v>0</v>
      </c>
      <c r="AF4" s="6">
        <v>0</v>
      </c>
      <c r="AG4" s="3">
        <v>0</v>
      </c>
      <c r="AH4" s="6">
        <v>0</v>
      </c>
      <c r="AI4" s="6">
        <v>0</v>
      </c>
      <c r="AJ4" s="5">
        <v>27472.2</v>
      </c>
      <c r="AK4" s="5">
        <v>26.04</v>
      </c>
      <c r="AL4" s="5">
        <v>50721.2</v>
      </c>
      <c r="AM4" s="5">
        <v>48.076966824645</v>
      </c>
      <c r="AN4" s="5">
        <v>23249.0</v>
      </c>
      <c r="AO4" s="5">
        <v>22.036966824645</v>
      </c>
      <c r="AP4" s="9">
        <v>0.458368492859</v>
      </c>
      <c r="AQ4" s="4">
        <v>1055.0</v>
      </c>
      <c r="AR4" s="6">
        <v>0</v>
      </c>
      <c r="AS4" s="6">
        <v>0</v>
      </c>
      <c r="AT4" s="6">
        <v>0</v>
      </c>
      <c r="AU4" s="3">
        <v>0</v>
      </c>
      <c r="AV4" s="6">
        <v>0</v>
      </c>
      <c r="AW4" s="6">
        <v>0</v>
      </c>
    </row>
    <row r="5" spans="1:49">
      <c r="A5" s="3">
        <v>3</v>
      </c>
      <c r="B5" s="3" t="s">
        <v>48</v>
      </c>
      <c r="C5" t="s">
        <v>49</v>
      </c>
      <c r="D5" s="3" t="s">
        <v>45</v>
      </c>
      <c r="E5" s="4">
        <v>44500.0</v>
      </c>
      <c r="F5" s="5">
        <v>1103005.0</v>
      </c>
      <c r="G5" s="4">
        <v>52100.0</v>
      </c>
      <c r="H5" s="5">
        <v>1045257.0</v>
      </c>
      <c r="I5" s="6">
        <v>0</v>
      </c>
      <c r="J5" s="6">
        <v>0</v>
      </c>
      <c r="K5" s="4">
        <v>53384.545452</v>
      </c>
      <c r="L5" s="5">
        <v>1048472.472677</v>
      </c>
      <c r="M5" s="7">
        <v>0.024062122120249</v>
      </c>
      <c r="N5" s="4">
        <v>44435.0</v>
      </c>
      <c r="O5" s="4">
        <v>3813.181818</v>
      </c>
      <c r="P5" s="4">
        <v>232.0</v>
      </c>
      <c r="Q5" s="6">
        <v>0</v>
      </c>
      <c r="R5" s="4">
        <v>1668.0</v>
      </c>
      <c r="S5" s="5">
        <v>32759.52</v>
      </c>
      <c r="T5" s="4">
        <v>7350.666666</v>
      </c>
      <c r="U5" s="8">
        <v>0.22691819338173</v>
      </c>
      <c r="V5" s="5">
        <v>916454.419</v>
      </c>
      <c r="W5" s="5">
        <v>20.624607156521</v>
      </c>
      <c r="X5" s="5">
        <v>1556160.731</v>
      </c>
      <c r="Y5" s="5">
        <v>35.021058422415</v>
      </c>
      <c r="Z5" s="5">
        <v>639706.312</v>
      </c>
      <c r="AA5" s="5">
        <v>14.396451265894</v>
      </c>
      <c r="AB5" s="9">
        <v>0.41107984493923</v>
      </c>
      <c r="AC5" s="4">
        <v>44435.0</v>
      </c>
      <c r="AD5" s="4">
        <v>5.0</v>
      </c>
      <c r="AE5" s="6">
        <v>0</v>
      </c>
      <c r="AF5" s="6">
        <v>0</v>
      </c>
      <c r="AG5" s="3">
        <v>0</v>
      </c>
      <c r="AH5" s="4">
        <v>1.0</v>
      </c>
      <c r="AI5" s="5">
        <v>19.64</v>
      </c>
      <c r="AJ5" s="5">
        <v>4605.53</v>
      </c>
      <c r="AK5" s="5">
        <v>19.851422413793</v>
      </c>
      <c r="AL5" s="5">
        <v>8602.97</v>
      </c>
      <c r="AM5" s="5">
        <v>37.081767241379</v>
      </c>
      <c r="AN5" s="5">
        <v>3997.44</v>
      </c>
      <c r="AO5" s="5">
        <v>17.230344827586</v>
      </c>
      <c r="AP5" s="9">
        <v>0.46465813550437</v>
      </c>
      <c r="AQ5" s="4">
        <v>232.0</v>
      </c>
      <c r="AR5" s="4">
        <v>1.0</v>
      </c>
      <c r="AS5" s="6">
        <v>0</v>
      </c>
      <c r="AT5" s="6">
        <v>0</v>
      </c>
      <c r="AU5" s="3">
        <v>0</v>
      </c>
      <c r="AV5" s="4">
        <v>1.0</v>
      </c>
      <c r="AW5" s="5">
        <v>19.64</v>
      </c>
    </row>
    <row r="6" spans="1:49">
      <c r="A6" s="3">
        <v>4</v>
      </c>
      <c r="B6" s="3" t="s">
        <v>50</v>
      </c>
      <c r="C6" t="s">
        <v>51</v>
      </c>
      <c r="D6" s="3" t="s">
        <v>45</v>
      </c>
      <c r="E6" s="4">
        <v>23400.0</v>
      </c>
      <c r="F6" s="5">
        <v>1171329.6</v>
      </c>
      <c r="G6" s="4">
        <v>18360.0</v>
      </c>
      <c r="H6" s="5">
        <v>775285.2</v>
      </c>
      <c r="I6" s="6">
        <v>0</v>
      </c>
      <c r="J6" s="6">
        <v>0</v>
      </c>
      <c r="K6" s="4">
        <v>56589.272726</v>
      </c>
      <c r="L6" s="5">
        <v>2362036.243583</v>
      </c>
      <c r="M6" s="7">
        <v>0.67555688356524</v>
      </c>
      <c r="N6" s="4">
        <v>46966.0</v>
      </c>
      <c r="O6" s="4">
        <v>4042.090909</v>
      </c>
      <c r="P6" s="4">
        <v>1130.0</v>
      </c>
      <c r="Q6" s="6">
        <v>0</v>
      </c>
      <c r="R6" s="4">
        <v>5304.0</v>
      </c>
      <c r="S6" s="5">
        <v>221388.96</v>
      </c>
      <c r="T6" s="4">
        <v>7695.833333</v>
      </c>
      <c r="U6" s="8">
        <v>0.68920411481058</v>
      </c>
      <c r="V6" s="5">
        <v>2079626.902</v>
      </c>
      <c r="W6" s="5">
        <v>44.279412809266</v>
      </c>
      <c r="X6" s="5">
        <v>3142092.04</v>
      </c>
      <c r="Y6" s="5">
        <v>66.901418898778</v>
      </c>
      <c r="Z6" s="5">
        <v>1062465.138</v>
      </c>
      <c r="AA6" s="5">
        <v>22.622006089512</v>
      </c>
      <c r="AB6" s="9">
        <v>0.33813940663559</v>
      </c>
      <c r="AC6" s="4">
        <v>46966.0</v>
      </c>
      <c r="AD6" s="6">
        <v>0</v>
      </c>
      <c r="AE6" s="6">
        <v>0</v>
      </c>
      <c r="AF6" s="6">
        <v>0</v>
      </c>
      <c r="AG6" s="3">
        <v>0</v>
      </c>
      <c r="AH6" s="6">
        <v>0</v>
      </c>
      <c r="AI6" s="6">
        <v>0</v>
      </c>
      <c r="AJ6" s="5">
        <v>46518.994</v>
      </c>
      <c r="AK6" s="5">
        <v>41.167251327434</v>
      </c>
      <c r="AL6" s="5">
        <v>73677.138</v>
      </c>
      <c r="AM6" s="5">
        <v>65.201007079646</v>
      </c>
      <c r="AN6" s="5">
        <v>27158.144</v>
      </c>
      <c r="AO6" s="5">
        <v>24.033755752212</v>
      </c>
      <c r="AP6" s="9">
        <v>0.36861019221458</v>
      </c>
      <c r="AQ6" s="4">
        <v>1130.0</v>
      </c>
      <c r="AR6" s="6">
        <v>0</v>
      </c>
      <c r="AS6" s="6">
        <v>0</v>
      </c>
      <c r="AT6" s="6">
        <v>0</v>
      </c>
      <c r="AU6" s="3">
        <v>0</v>
      </c>
      <c r="AV6" s="6">
        <v>0</v>
      </c>
      <c r="AW6" s="6">
        <v>0</v>
      </c>
    </row>
    <row r="7" spans="1:49">
      <c r="A7" s="3">
        <v>5</v>
      </c>
      <c r="B7" s="3" t="s">
        <v>52</v>
      </c>
      <c r="C7" t="s">
        <v>53</v>
      </c>
      <c r="D7" s="3" t="s">
        <v>45</v>
      </c>
      <c r="E7" s="4">
        <v>20700.0</v>
      </c>
      <c r="F7" s="5">
        <v>851088.0</v>
      </c>
      <c r="G7" s="4">
        <v>18360.0</v>
      </c>
      <c r="H7" s="5">
        <v>641628.3</v>
      </c>
      <c r="I7" s="6">
        <v>0</v>
      </c>
      <c r="J7" s="6">
        <v>0</v>
      </c>
      <c r="K7" s="4">
        <v>49267.272726</v>
      </c>
      <c r="L7" s="5">
        <v>1667697.181775</v>
      </c>
      <c r="M7" s="7">
        <v>0.62733881978592</v>
      </c>
      <c r="N7" s="4">
        <v>41171.0</v>
      </c>
      <c r="O7" s="4">
        <v>3519.090909</v>
      </c>
      <c r="P7" s="4">
        <v>1379.0</v>
      </c>
      <c r="Q7" s="6">
        <v>0</v>
      </c>
      <c r="R7" s="4">
        <v>5959.0</v>
      </c>
      <c r="S7" s="5">
        <v>201712.15</v>
      </c>
      <c r="T7" s="4">
        <v>6797.166666</v>
      </c>
      <c r="U7" s="8">
        <v>0.87668881650459</v>
      </c>
      <c r="V7" s="5">
        <v>1463669.22</v>
      </c>
      <c r="W7" s="5">
        <v>35.55097568677</v>
      </c>
      <c r="X7" s="5">
        <v>2249031.63</v>
      </c>
      <c r="Y7" s="5">
        <v>54.626597119332</v>
      </c>
      <c r="Z7" s="5">
        <v>785362.41</v>
      </c>
      <c r="AA7" s="5">
        <v>19.075621432562</v>
      </c>
      <c r="AB7" s="9">
        <v>0.34920025113208</v>
      </c>
      <c r="AC7" s="4">
        <v>41171.0</v>
      </c>
      <c r="AD7" s="6">
        <v>0</v>
      </c>
      <c r="AE7" s="6">
        <v>0</v>
      </c>
      <c r="AF7" s="6">
        <v>0</v>
      </c>
      <c r="AG7" s="3">
        <v>0</v>
      </c>
      <c r="AH7" s="6">
        <v>0</v>
      </c>
      <c r="AI7" s="6">
        <v>0</v>
      </c>
      <c r="AJ7" s="5">
        <v>46741.202</v>
      </c>
      <c r="AK7" s="5">
        <v>33.894997824511</v>
      </c>
      <c r="AL7" s="5">
        <v>73944.35</v>
      </c>
      <c r="AM7" s="5">
        <v>53.621718636693</v>
      </c>
      <c r="AN7" s="5">
        <v>27203.148</v>
      </c>
      <c r="AO7" s="5">
        <v>19.726720812183</v>
      </c>
      <c r="AP7" s="9">
        <v>0.36788676890121</v>
      </c>
      <c r="AQ7" s="4">
        <v>1379.0</v>
      </c>
      <c r="AR7" s="6">
        <v>0</v>
      </c>
      <c r="AS7" s="6">
        <v>0</v>
      </c>
      <c r="AT7" s="6">
        <v>0</v>
      </c>
      <c r="AU7" s="3">
        <v>0</v>
      </c>
      <c r="AV7" s="6">
        <v>0</v>
      </c>
      <c r="AW7" s="6">
        <v>0</v>
      </c>
    </row>
    <row r="8" spans="1:49">
      <c r="A8" s="3">
        <v>6</v>
      </c>
      <c r="B8" s="3" t="s">
        <v>54</v>
      </c>
      <c r="C8" t="s">
        <v>55</v>
      </c>
      <c r="D8" s="3" t="s">
        <v>45</v>
      </c>
      <c r="E8" s="4">
        <v>22500.0</v>
      </c>
      <c r="F8" s="5">
        <v>704430.0</v>
      </c>
      <c r="G8" s="4">
        <v>23050.0</v>
      </c>
      <c r="H8" s="5">
        <v>552085.5</v>
      </c>
      <c r="I8" s="6">
        <v>0</v>
      </c>
      <c r="J8" s="6">
        <v>0</v>
      </c>
      <c r="K8" s="4">
        <v>27079.818178</v>
      </c>
      <c r="L8" s="5">
        <v>626897.790821</v>
      </c>
      <c r="M8" s="7">
        <v>0.14881260101199</v>
      </c>
      <c r="N8" s="4">
        <v>22605.0</v>
      </c>
      <c r="O8" s="4">
        <v>1934.272727</v>
      </c>
      <c r="P8" s="4">
        <v>712.0</v>
      </c>
      <c r="Q8" s="6">
        <v>0</v>
      </c>
      <c r="R8" s="4">
        <v>8092.0</v>
      </c>
      <c r="S8" s="5">
        <v>187329.8</v>
      </c>
      <c r="T8" s="4">
        <v>3798.333333</v>
      </c>
      <c r="U8" s="8">
        <v>2.1304080739035</v>
      </c>
      <c r="V8" s="5">
        <v>593103.312</v>
      </c>
      <c r="W8" s="5">
        <v>26.237704578633</v>
      </c>
      <c r="X8" s="5">
        <v>1024780.22</v>
      </c>
      <c r="Y8" s="5">
        <v>45.334227825702</v>
      </c>
      <c r="Z8" s="5">
        <v>431676.908</v>
      </c>
      <c r="AA8" s="5">
        <v>19.096523247069</v>
      </c>
      <c r="AB8" s="9">
        <v>0.42123852468581</v>
      </c>
      <c r="AC8" s="4">
        <v>22605.0</v>
      </c>
      <c r="AD8" s="6">
        <v>0</v>
      </c>
      <c r="AE8" s="6">
        <v>0</v>
      </c>
      <c r="AF8" s="6">
        <v>0</v>
      </c>
      <c r="AG8" s="3">
        <v>0</v>
      </c>
      <c r="AH8" s="6">
        <v>0</v>
      </c>
      <c r="AI8" s="6">
        <v>0</v>
      </c>
      <c r="AJ8" s="5">
        <v>16135.521</v>
      </c>
      <c r="AK8" s="5">
        <v>22.662248595506</v>
      </c>
      <c r="AL8" s="5">
        <v>32167.4</v>
      </c>
      <c r="AM8" s="5">
        <v>45.17893258427</v>
      </c>
      <c r="AN8" s="5">
        <v>16031.879</v>
      </c>
      <c r="AO8" s="5">
        <v>22.516683988764</v>
      </c>
      <c r="AP8" s="9">
        <v>0.49838902118294</v>
      </c>
      <c r="AQ8" s="4">
        <v>712.0</v>
      </c>
      <c r="AR8" s="6">
        <v>0</v>
      </c>
      <c r="AS8" s="6">
        <v>0</v>
      </c>
      <c r="AT8" s="6">
        <v>0</v>
      </c>
      <c r="AU8" s="3">
        <v>0</v>
      </c>
      <c r="AV8" s="6">
        <v>0</v>
      </c>
      <c r="AW8" s="6">
        <v>0</v>
      </c>
    </row>
    <row r="9" spans="1:49">
      <c r="A9" s="3">
        <v>7</v>
      </c>
      <c r="B9" s="3" t="s">
        <v>56</v>
      </c>
      <c r="C9" t="s">
        <v>57</v>
      </c>
      <c r="D9" s="3" t="s">
        <v>45</v>
      </c>
      <c r="E9" s="4">
        <v>5100.0</v>
      </c>
      <c r="F9" s="5">
        <v>490339.8</v>
      </c>
      <c r="G9" s="4">
        <v>4320.0</v>
      </c>
      <c r="H9" s="5">
        <v>367223.085</v>
      </c>
      <c r="I9" s="6">
        <v>0</v>
      </c>
      <c r="J9" s="6">
        <v>0</v>
      </c>
      <c r="K9" s="4">
        <v>14516.72726</v>
      </c>
      <c r="L9" s="5">
        <v>1209286.93094</v>
      </c>
      <c r="M9" s="7">
        <v>0.70241226396093</v>
      </c>
      <c r="N9" s="4">
        <v>12148.0</v>
      </c>
      <c r="O9" s="4">
        <v>1036.90909</v>
      </c>
      <c r="P9" s="4">
        <v>235.0</v>
      </c>
      <c r="Q9" s="6">
        <v>0</v>
      </c>
      <c r="R9" s="4">
        <v>1679.0</v>
      </c>
      <c r="S9" s="5">
        <v>139865.737</v>
      </c>
      <c r="T9" s="4">
        <v>1976.166666</v>
      </c>
      <c r="U9" s="8">
        <v>0.84962469456005</v>
      </c>
      <c r="V9" s="5">
        <v>1182553.726</v>
      </c>
      <c r="W9" s="5">
        <v>97.345548732302</v>
      </c>
      <c r="X9" s="5">
        <v>1716594.37</v>
      </c>
      <c r="Y9" s="5">
        <v>141.30674761278</v>
      </c>
      <c r="Z9" s="5">
        <v>534040.644</v>
      </c>
      <c r="AA9" s="5">
        <v>43.961198880474</v>
      </c>
      <c r="AB9" s="9">
        <v>0.31110473932173</v>
      </c>
      <c r="AC9" s="4">
        <v>12148.0</v>
      </c>
      <c r="AD9" s="6">
        <v>0</v>
      </c>
      <c r="AE9" s="6">
        <v>0</v>
      </c>
      <c r="AF9" s="6">
        <v>0</v>
      </c>
      <c r="AG9" s="3">
        <v>0</v>
      </c>
      <c r="AH9" s="6">
        <v>0</v>
      </c>
      <c r="AI9" s="6">
        <v>0</v>
      </c>
      <c r="AJ9" s="5">
        <v>19955.83</v>
      </c>
      <c r="AK9" s="5">
        <v>84.918425531915</v>
      </c>
      <c r="AL9" s="5">
        <v>32284.307</v>
      </c>
      <c r="AM9" s="5">
        <v>137.38002978723</v>
      </c>
      <c r="AN9" s="5">
        <v>12328.477</v>
      </c>
      <c r="AO9" s="5">
        <v>52.461604255319</v>
      </c>
      <c r="AP9" s="9">
        <v>0.38187212753243</v>
      </c>
      <c r="AQ9" s="4">
        <v>235.0</v>
      </c>
      <c r="AR9" s="6">
        <v>0</v>
      </c>
      <c r="AS9" s="6">
        <v>0</v>
      </c>
      <c r="AT9" s="6">
        <v>0</v>
      </c>
      <c r="AU9" s="3">
        <v>0</v>
      </c>
      <c r="AV9" s="6">
        <v>0</v>
      </c>
      <c r="AW9" s="6">
        <v>0</v>
      </c>
    </row>
    <row r="10" spans="1:49">
      <c r="A10" s="3">
        <v>8</v>
      </c>
      <c r="B10" s="3" t="s">
        <v>58</v>
      </c>
      <c r="C10" t="s">
        <v>59</v>
      </c>
      <c r="D10" s="3" t="s">
        <v>45</v>
      </c>
      <c r="E10" s="4">
        <v>4800.0</v>
      </c>
      <c r="F10" s="5">
        <v>281923.0</v>
      </c>
      <c r="G10" s="4">
        <v>6400.0</v>
      </c>
      <c r="H10" s="5">
        <v>323333.0</v>
      </c>
      <c r="I10" s="6">
        <v>0</v>
      </c>
      <c r="J10" s="6">
        <v>0</v>
      </c>
      <c r="K10" s="4">
        <v>6583.818178</v>
      </c>
      <c r="L10" s="5">
        <v>316813.330725</v>
      </c>
      <c r="M10" s="7">
        <v>0.027919692347251</v>
      </c>
      <c r="N10" s="4">
        <v>5415.0</v>
      </c>
      <c r="O10" s="4">
        <v>470.272727</v>
      </c>
      <c r="P10" s="4">
        <v>177.0</v>
      </c>
      <c r="Q10" s="6">
        <v>0</v>
      </c>
      <c r="R10" s="4">
        <v>1524.0</v>
      </c>
      <c r="S10" s="5">
        <v>73334.88</v>
      </c>
      <c r="T10" s="4">
        <v>914.333333</v>
      </c>
      <c r="U10" s="8">
        <v>1.6667881887229</v>
      </c>
      <c r="V10" s="5">
        <v>282647.858</v>
      </c>
      <c r="W10" s="5">
        <v>52.197203693444</v>
      </c>
      <c r="X10" s="5">
        <v>486124.338</v>
      </c>
      <c r="Y10" s="5">
        <v>89.773654293629</v>
      </c>
      <c r="Z10" s="5">
        <v>203476.48</v>
      </c>
      <c r="AA10" s="5">
        <v>37.576450600185</v>
      </c>
      <c r="AB10" s="9">
        <v>0.418568798339</v>
      </c>
      <c r="AC10" s="4">
        <v>5415.0</v>
      </c>
      <c r="AD10" s="6">
        <v>0</v>
      </c>
      <c r="AE10" s="6">
        <v>0</v>
      </c>
      <c r="AF10" s="6">
        <v>0</v>
      </c>
      <c r="AG10" s="3">
        <v>0</v>
      </c>
      <c r="AH10" s="6">
        <v>0</v>
      </c>
      <c r="AI10" s="6">
        <v>0</v>
      </c>
      <c r="AJ10" s="5">
        <v>8651.552</v>
      </c>
      <c r="AK10" s="5">
        <v>48.878824858757</v>
      </c>
      <c r="AL10" s="5">
        <v>14804.16</v>
      </c>
      <c r="AM10" s="5">
        <v>83.639322033898</v>
      </c>
      <c r="AN10" s="5">
        <v>6152.608</v>
      </c>
      <c r="AO10" s="5">
        <v>34.760497175141</v>
      </c>
      <c r="AP10" s="9">
        <v>0.41559993947647</v>
      </c>
      <c r="AQ10" s="4">
        <v>177.0</v>
      </c>
      <c r="AR10" s="6">
        <v>0</v>
      </c>
      <c r="AS10" s="6">
        <v>0</v>
      </c>
      <c r="AT10" s="6">
        <v>0</v>
      </c>
      <c r="AU10" s="3">
        <v>0</v>
      </c>
      <c r="AV10" s="6">
        <v>0</v>
      </c>
      <c r="AW10" s="6">
        <v>0</v>
      </c>
    </row>
    <row r="11" spans="1:49">
      <c r="A11" s="3">
        <v>9</v>
      </c>
      <c r="B11" s="3" t="s">
        <v>60</v>
      </c>
      <c r="C11" t="s">
        <v>61</v>
      </c>
      <c r="D11" s="3" t="s">
        <v>45</v>
      </c>
      <c r="E11" s="4">
        <v>21800.0</v>
      </c>
      <c r="F11" s="5">
        <v>684672.0</v>
      </c>
      <c r="G11" s="4">
        <v>10600.0</v>
      </c>
      <c r="H11" s="5">
        <v>281610.0</v>
      </c>
      <c r="I11" s="6">
        <v>0</v>
      </c>
      <c r="J11" s="6">
        <v>0</v>
      </c>
      <c r="K11" s="4">
        <v>47881.272726</v>
      </c>
      <c r="L11" s="5">
        <v>1242997.839967</v>
      </c>
      <c r="M11" s="7">
        <v>0.77861908432012</v>
      </c>
      <c r="N11" s="4">
        <v>39749.0</v>
      </c>
      <c r="O11" s="4">
        <v>3420.090909</v>
      </c>
      <c r="P11" s="4">
        <v>1046.0</v>
      </c>
      <c r="Q11" s="6">
        <v>0</v>
      </c>
      <c r="R11" s="4">
        <v>5782.0</v>
      </c>
      <c r="S11" s="5">
        <v>150100.72</v>
      </c>
      <c r="T11" s="4">
        <v>6592.833333</v>
      </c>
      <c r="U11" s="8">
        <v>0.87701291811194</v>
      </c>
      <c r="V11" s="5">
        <v>1123052.416</v>
      </c>
      <c r="W11" s="5">
        <v>28.253601750987</v>
      </c>
      <c r="X11" s="5">
        <v>1589645.856</v>
      </c>
      <c r="Y11" s="5">
        <v>39.992096807467</v>
      </c>
      <c r="Z11" s="5">
        <v>466593.44</v>
      </c>
      <c r="AA11" s="5">
        <v>11.738495056479</v>
      </c>
      <c r="AB11" s="9">
        <v>0.29352037011192</v>
      </c>
      <c r="AC11" s="4">
        <v>39749.0</v>
      </c>
      <c r="AD11" s="6">
        <v>0</v>
      </c>
      <c r="AE11" s="6">
        <v>0</v>
      </c>
      <c r="AF11" s="6">
        <v>0</v>
      </c>
      <c r="AG11" s="3">
        <v>0</v>
      </c>
      <c r="AH11" s="6">
        <v>0</v>
      </c>
      <c r="AI11" s="6">
        <v>0</v>
      </c>
      <c r="AJ11" s="5">
        <v>27042.115</v>
      </c>
      <c r="AK11" s="5">
        <v>25.852882409178</v>
      </c>
      <c r="AL11" s="5">
        <v>40560.99</v>
      </c>
      <c r="AM11" s="5">
        <v>38.77723709369</v>
      </c>
      <c r="AN11" s="5">
        <v>13518.875</v>
      </c>
      <c r="AO11" s="5">
        <v>12.924354684512</v>
      </c>
      <c r="AP11" s="9">
        <v>0.33329746142784</v>
      </c>
      <c r="AQ11" s="4">
        <v>1046.0</v>
      </c>
      <c r="AR11" s="6">
        <v>0</v>
      </c>
      <c r="AS11" s="6">
        <v>0</v>
      </c>
      <c r="AT11" s="6">
        <v>0</v>
      </c>
      <c r="AU11" s="3">
        <v>0</v>
      </c>
      <c r="AV11" s="6">
        <v>0</v>
      </c>
      <c r="AW11" s="6">
        <v>0</v>
      </c>
    </row>
    <row r="12" spans="1:49">
      <c r="A12" s="3">
        <v>10</v>
      </c>
      <c r="B12" s="3" t="s">
        <v>62</v>
      </c>
      <c r="C12" t="s">
        <v>63</v>
      </c>
      <c r="D12" s="3" t="s">
        <v>45</v>
      </c>
      <c r="E12" s="4">
        <v>6390.0</v>
      </c>
      <c r="F12" s="5">
        <v>499698.75</v>
      </c>
      <c r="G12" s="4">
        <v>4035.0</v>
      </c>
      <c r="H12" s="5">
        <v>271842.0</v>
      </c>
      <c r="I12" s="6">
        <v>0</v>
      </c>
      <c r="J12" s="6">
        <v>0</v>
      </c>
      <c r="K12" s="4">
        <v>16677.818178</v>
      </c>
      <c r="L12" s="5">
        <v>1109908.799746</v>
      </c>
      <c r="M12" s="7">
        <v>0.7580618785422</v>
      </c>
      <c r="N12" s="4">
        <v>13832.0</v>
      </c>
      <c r="O12" s="4">
        <v>1191.272727</v>
      </c>
      <c r="P12" s="4">
        <v>270.0</v>
      </c>
      <c r="Q12" s="6">
        <v>0</v>
      </c>
      <c r="R12" s="4">
        <v>2719.0</v>
      </c>
      <c r="S12" s="5">
        <v>180949.45</v>
      </c>
      <c r="T12" s="4">
        <v>2215.666666</v>
      </c>
      <c r="U12" s="8">
        <v>1.2271701523175</v>
      </c>
      <c r="V12" s="5">
        <v>1071105.743</v>
      </c>
      <c r="W12" s="5">
        <v>77.436794606709</v>
      </c>
      <c r="X12" s="5">
        <v>1619331.122</v>
      </c>
      <c r="Y12" s="5">
        <v>117.07136509543</v>
      </c>
      <c r="Z12" s="5">
        <v>548225.379</v>
      </c>
      <c r="AA12" s="5">
        <v>39.634570488722</v>
      </c>
      <c r="AB12" s="9">
        <v>0.33855051110418</v>
      </c>
      <c r="AC12" s="4">
        <v>13832.0</v>
      </c>
      <c r="AD12" s="6">
        <v>0</v>
      </c>
      <c r="AE12" s="6">
        <v>0</v>
      </c>
      <c r="AF12" s="6">
        <v>0</v>
      </c>
      <c r="AG12" s="3">
        <v>0</v>
      </c>
      <c r="AH12" s="6">
        <v>0</v>
      </c>
      <c r="AI12" s="6">
        <v>0</v>
      </c>
      <c r="AJ12" s="5">
        <v>19737.305</v>
      </c>
      <c r="AK12" s="5">
        <v>73.10112962963</v>
      </c>
      <c r="AL12" s="5">
        <v>30913.02</v>
      </c>
      <c r="AM12" s="5">
        <v>114.49266666667</v>
      </c>
      <c r="AN12" s="5">
        <v>11175.715</v>
      </c>
      <c r="AO12" s="5">
        <v>41.391537037037</v>
      </c>
      <c r="AP12" s="9">
        <v>0.36152129426371</v>
      </c>
      <c r="AQ12" s="4">
        <v>270.0</v>
      </c>
      <c r="AR12" s="6">
        <v>0</v>
      </c>
      <c r="AS12" s="6">
        <v>0</v>
      </c>
      <c r="AT12" s="6">
        <v>0</v>
      </c>
      <c r="AU12" s="3">
        <v>0</v>
      </c>
      <c r="AV12" s="6">
        <v>0</v>
      </c>
      <c r="AW12" s="6">
        <v>0</v>
      </c>
    </row>
    <row r="13" spans="1:49">
      <c r="A13" s="3">
        <v>11</v>
      </c>
      <c r="B13" s="3" t="s">
        <v>64</v>
      </c>
      <c r="C13" t="s">
        <v>65</v>
      </c>
      <c r="D13" s="3" t="s">
        <v>45</v>
      </c>
      <c r="E13" s="4">
        <v>7875.0</v>
      </c>
      <c r="F13" s="5">
        <v>339881.25</v>
      </c>
      <c r="G13" s="4">
        <v>6650.0</v>
      </c>
      <c r="H13" s="5">
        <v>249174.5</v>
      </c>
      <c r="I13" s="6">
        <v>0</v>
      </c>
      <c r="J13" s="6">
        <v>0</v>
      </c>
      <c r="K13" s="4">
        <v>7715.272726</v>
      </c>
      <c r="L13" s="5">
        <v>281530.301772</v>
      </c>
      <c r="M13" s="7">
        <v>0.13807324301189</v>
      </c>
      <c r="N13" s="4">
        <v>6349.0</v>
      </c>
      <c r="O13" s="4">
        <v>551.090909</v>
      </c>
      <c r="P13" s="4">
        <v>68.0</v>
      </c>
      <c r="Q13" s="6">
        <v>0</v>
      </c>
      <c r="R13" s="4">
        <v>2109.0</v>
      </c>
      <c r="S13" s="5">
        <v>76957.41</v>
      </c>
      <c r="T13" s="4">
        <v>1021.333333</v>
      </c>
      <c r="U13" s="8">
        <v>2.0649477813528</v>
      </c>
      <c r="V13" s="5">
        <v>248963.625</v>
      </c>
      <c r="W13" s="5">
        <v>39.213045361474</v>
      </c>
      <c r="X13" s="5">
        <v>425788.944</v>
      </c>
      <c r="Y13" s="5">
        <v>67.063938257993</v>
      </c>
      <c r="Z13" s="5">
        <v>176825.319</v>
      </c>
      <c r="AA13" s="5">
        <v>27.850892896519</v>
      </c>
      <c r="AB13" s="9">
        <v>0.41528865765946</v>
      </c>
      <c r="AC13" s="4">
        <v>6349.0</v>
      </c>
      <c r="AD13" s="6">
        <v>0</v>
      </c>
      <c r="AE13" s="6">
        <v>0</v>
      </c>
      <c r="AF13" s="6">
        <v>0</v>
      </c>
      <c r="AG13" s="3">
        <v>0</v>
      </c>
      <c r="AH13" s="6">
        <v>0</v>
      </c>
      <c r="AI13" s="6">
        <v>0</v>
      </c>
      <c r="AJ13" s="5">
        <v>2518.72</v>
      </c>
      <c r="AK13" s="5">
        <v>37.04</v>
      </c>
      <c r="AL13" s="5">
        <v>4397.24</v>
      </c>
      <c r="AM13" s="5">
        <v>64.665294117647</v>
      </c>
      <c r="AN13" s="5">
        <v>1878.52</v>
      </c>
      <c r="AO13" s="5">
        <v>27.625294117647</v>
      </c>
      <c r="AP13" s="9">
        <v>0.4272043372661</v>
      </c>
      <c r="AQ13" s="4">
        <v>68.0</v>
      </c>
      <c r="AR13" s="6">
        <v>0</v>
      </c>
      <c r="AS13" s="6">
        <v>0</v>
      </c>
      <c r="AT13" s="6">
        <v>0</v>
      </c>
      <c r="AU13" s="3">
        <v>0</v>
      </c>
      <c r="AV13" s="6">
        <v>0</v>
      </c>
      <c r="AW13" s="6">
        <v>0</v>
      </c>
    </row>
    <row r="14" spans="1:49">
      <c r="A14" s="3">
        <v>12</v>
      </c>
      <c r="B14" s="3" t="s">
        <v>66</v>
      </c>
      <c r="C14" t="s">
        <v>67</v>
      </c>
      <c r="D14" s="3" t="s">
        <v>45</v>
      </c>
      <c r="E14" s="4">
        <v>35250.0</v>
      </c>
      <c r="F14" s="5">
        <v>1491162.0</v>
      </c>
      <c r="G14" s="4">
        <v>6810.0</v>
      </c>
      <c r="H14" s="5">
        <v>226603.8</v>
      </c>
      <c r="I14" s="6">
        <v>0</v>
      </c>
      <c r="J14" s="6">
        <v>0</v>
      </c>
      <c r="K14" s="4">
        <v>12073.090904</v>
      </c>
      <c r="L14" s="5">
        <v>398170.538014</v>
      </c>
      <c r="M14" s="7">
        <v>0.43593566435056</v>
      </c>
      <c r="N14" s="4">
        <v>9884.0</v>
      </c>
      <c r="O14" s="4">
        <v>862.363636</v>
      </c>
      <c r="P14" s="4">
        <v>829.0</v>
      </c>
      <c r="Q14" s="6">
        <v>0</v>
      </c>
      <c r="R14" s="4">
        <v>11122.0</v>
      </c>
      <c r="S14" s="5">
        <v>366803.56</v>
      </c>
      <c r="T14" s="4">
        <v>1746.5</v>
      </c>
      <c r="U14" s="10">
        <v>6.368164901231</v>
      </c>
      <c r="V14" s="5">
        <v>417917.897</v>
      </c>
      <c r="W14" s="5">
        <v>42.282263961959</v>
      </c>
      <c r="X14" s="5">
        <v>597864.503</v>
      </c>
      <c r="Y14" s="5">
        <v>60.488112403885</v>
      </c>
      <c r="Z14" s="5">
        <v>179946.606</v>
      </c>
      <c r="AA14" s="5">
        <v>18.205848441926</v>
      </c>
      <c r="AB14" s="9">
        <v>0.30098225450257</v>
      </c>
      <c r="AC14" s="4">
        <v>9884.0</v>
      </c>
      <c r="AD14" s="6">
        <v>0</v>
      </c>
      <c r="AE14" s="6">
        <v>0</v>
      </c>
      <c r="AF14" s="6">
        <v>0</v>
      </c>
      <c r="AG14" s="3">
        <v>0</v>
      </c>
      <c r="AH14" s="6">
        <v>0</v>
      </c>
      <c r="AI14" s="6">
        <v>0</v>
      </c>
      <c r="AJ14" s="5">
        <v>35222.571</v>
      </c>
      <c r="AK14" s="5">
        <v>42.48802291918</v>
      </c>
      <c r="AL14" s="5">
        <v>50283.214</v>
      </c>
      <c r="AM14" s="5">
        <v>60.655264173703</v>
      </c>
      <c r="AN14" s="5">
        <v>15060.643</v>
      </c>
      <c r="AO14" s="5">
        <v>18.167241254524</v>
      </c>
      <c r="AP14" s="9">
        <v>0.29951631572318</v>
      </c>
      <c r="AQ14" s="4">
        <v>829.0</v>
      </c>
      <c r="AR14" s="6">
        <v>0</v>
      </c>
      <c r="AS14" s="6">
        <v>0</v>
      </c>
      <c r="AT14" s="6">
        <v>0</v>
      </c>
      <c r="AU14" s="3">
        <v>0</v>
      </c>
      <c r="AV14" s="6">
        <v>0</v>
      </c>
      <c r="AW14" s="6">
        <v>0</v>
      </c>
    </row>
    <row r="15" spans="1:49">
      <c r="A15" s="3">
        <v>13</v>
      </c>
      <c r="B15" s="3" t="s">
        <v>68</v>
      </c>
      <c r="C15" t="s">
        <v>69</v>
      </c>
      <c r="D15" s="3" t="s">
        <v>45</v>
      </c>
      <c r="E15" s="4">
        <v>5325.0</v>
      </c>
      <c r="F15" s="5">
        <v>362724.0</v>
      </c>
      <c r="G15" s="4">
        <v>3315.0</v>
      </c>
      <c r="H15" s="5">
        <v>194959.95</v>
      </c>
      <c r="I15" s="6">
        <v>0</v>
      </c>
      <c r="J15" s="6">
        <v>0</v>
      </c>
      <c r="K15" s="4">
        <v>11485.090904</v>
      </c>
      <c r="L15" s="5">
        <v>670614.457885</v>
      </c>
      <c r="M15" s="7">
        <v>0.711364931483</v>
      </c>
      <c r="N15" s="4">
        <v>9558.0</v>
      </c>
      <c r="O15" s="4">
        <v>820.363636</v>
      </c>
      <c r="P15" s="4">
        <v>351.0</v>
      </c>
      <c r="Q15" s="6">
        <v>0</v>
      </c>
      <c r="R15" s="4">
        <v>858.0</v>
      </c>
      <c r="S15" s="5">
        <v>50098.62</v>
      </c>
      <c r="T15" s="4">
        <v>1557.5</v>
      </c>
      <c r="U15" s="8">
        <v>0.55088282504013</v>
      </c>
      <c r="V15" s="5">
        <v>668030.51</v>
      </c>
      <c r="W15" s="5">
        <v>69.892290228081</v>
      </c>
      <c r="X15" s="5">
        <v>997599.435</v>
      </c>
      <c r="Y15" s="5">
        <v>104.37324074074</v>
      </c>
      <c r="Z15" s="5">
        <v>329568.925</v>
      </c>
      <c r="AA15" s="5">
        <v>34.48095051266</v>
      </c>
      <c r="AB15" s="9">
        <v>0.3303619804075</v>
      </c>
      <c r="AC15" s="4">
        <v>9558.0</v>
      </c>
      <c r="AD15" s="6">
        <v>0</v>
      </c>
      <c r="AE15" s="6">
        <v>0</v>
      </c>
      <c r="AF15" s="6">
        <v>0</v>
      </c>
      <c r="AG15" s="3">
        <v>0</v>
      </c>
      <c r="AH15" s="6">
        <v>0</v>
      </c>
      <c r="AI15" s="6">
        <v>0</v>
      </c>
      <c r="AJ15" s="5">
        <v>20133.502</v>
      </c>
      <c r="AK15" s="5">
        <v>57.360404558405</v>
      </c>
      <c r="AL15" s="5">
        <v>29510.781</v>
      </c>
      <c r="AM15" s="5">
        <v>84.076299145299</v>
      </c>
      <c r="AN15" s="5">
        <v>9377.279</v>
      </c>
      <c r="AO15" s="5">
        <v>26.715894586895</v>
      </c>
      <c r="AP15" s="9">
        <v>0.31775773741806</v>
      </c>
      <c r="AQ15" s="4">
        <v>351.0</v>
      </c>
      <c r="AR15" s="6">
        <v>0</v>
      </c>
      <c r="AS15" s="6">
        <v>0</v>
      </c>
      <c r="AT15" s="6">
        <v>0</v>
      </c>
      <c r="AU15" s="3">
        <v>0</v>
      </c>
      <c r="AV15" s="6">
        <v>0</v>
      </c>
      <c r="AW15" s="6">
        <v>0</v>
      </c>
    </row>
    <row r="16" spans="1:49">
      <c r="A16" s="3">
        <v>14</v>
      </c>
      <c r="B16" s="3" t="s">
        <v>70</v>
      </c>
      <c r="C16" t="s">
        <v>71</v>
      </c>
      <c r="D16" s="3" t="s">
        <v>45</v>
      </c>
      <c r="E16" s="4">
        <v>2808.0</v>
      </c>
      <c r="F16" s="5">
        <v>152479.68</v>
      </c>
      <c r="G16" s="4">
        <v>2880.0</v>
      </c>
      <c r="H16" s="5">
        <v>133061.76</v>
      </c>
      <c r="I16" s="6">
        <v>0</v>
      </c>
      <c r="J16" s="6">
        <v>0</v>
      </c>
      <c r="K16" s="4">
        <v>3290.0</v>
      </c>
      <c r="L16" s="5">
        <v>140812.0</v>
      </c>
      <c r="M16" s="7">
        <v>0.12462006079027</v>
      </c>
      <c r="N16" s="4">
        <v>2605.0</v>
      </c>
      <c r="O16" s="4">
        <v>235.0</v>
      </c>
      <c r="P16" s="4">
        <v>14.0</v>
      </c>
      <c r="Q16" s="6">
        <v>0</v>
      </c>
      <c r="R16" s="4">
        <v>1276.0</v>
      </c>
      <c r="S16" s="5">
        <v>54612.8</v>
      </c>
      <c r="T16" s="4">
        <v>427.833333</v>
      </c>
      <c r="U16" s="8">
        <v>2.9824698114394</v>
      </c>
      <c r="V16" s="5">
        <v>127099.819</v>
      </c>
      <c r="W16" s="5">
        <v>48.790717466411</v>
      </c>
      <c r="X16" s="5">
        <v>194722.506</v>
      </c>
      <c r="Y16" s="5">
        <v>74.749522456814</v>
      </c>
      <c r="Z16" s="5">
        <v>67622.687</v>
      </c>
      <c r="AA16" s="5">
        <v>25.958804990403</v>
      </c>
      <c r="AB16" s="9">
        <v>0.34727720174267</v>
      </c>
      <c r="AC16" s="4">
        <v>2605.0</v>
      </c>
      <c r="AD16" s="6">
        <v>0</v>
      </c>
      <c r="AE16" s="6">
        <v>0</v>
      </c>
      <c r="AF16" s="6">
        <v>0</v>
      </c>
      <c r="AG16" s="3">
        <v>0</v>
      </c>
      <c r="AH16" s="6">
        <v>0</v>
      </c>
      <c r="AI16" s="6">
        <v>0</v>
      </c>
      <c r="AJ16" s="5">
        <v>658.7</v>
      </c>
      <c r="AK16" s="5">
        <v>47.05</v>
      </c>
      <c r="AL16" s="5">
        <v>1041.81</v>
      </c>
      <c r="AM16" s="5">
        <v>74.415</v>
      </c>
      <c r="AN16" s="5">
        <v>383.11</v>
      </c>
      <c r="AO16" s="5">
        <v>27.365</v>
      </c>
      <c r="AP16" s="9">
        <v>0.36773499966405</v>
      </c>
      <c r="AQ16" s="4">
        <v>14.0</v>
      </c>
      <c r="AR16" s="6">
        <v>0</v>
      </c>
      <c r="AS16" s="6">
        <v>0</v>
      </c>
      <c r="AT16" s="6">
        <v>0</v>
      </c>
      <c r="AU16" s="3">
        <v>0</v>
      </c>
      <c r="AV16" s="6">
        <v>0</v>
      </c>
      <c r="AW16" s="6">
        <v>0</v>
      </c>
    </row>
    <row r="17" spans="1:49">
      <c r="A17" s="3">
        <v>15</v>
      </c>
      <c r="B17" s="3" t="s">
        <v>72</v>
      </c>
      <c r="C17" t="s">
        <v>73</v>
      </c>
      <c r="D17" s="3" t="s">
        <v>45</v>
      </c>
      <c r="E17" s="4">
        <v>3000.0</v>
      </c>
      <c r="F17" s="5">
        <v>252976.5</v>
      </c>
      <c r="G17" s="4">
        <v>1455.0</v>
      </c>
      <c r="H17" s="5">
        <v>105536.7</v>
      </c>
      <c r="I17" s="6">
        <v>0</v>
      </c>
      <c r="J17" s="6">
        <v>0</v>
      </c>
      <c r="K17" s="4">
        <v>6087.454534</v>
      </c>
      <c r="L17" s="5">
        <v>460150.688225</v>
      </c>
      <c r="M17" s="7">
        <v>0.76098384113204</v>
      </c>
      <c r="N17" s="4">
        <v>4937.0</v>
      </c>
      <c r="O17" s="4">
        <v>434.818181</v>
      </c>
      <c r="P17" s="4">
        <v>102.0</v>
      </c>
      <c r="Q17" s="6">
        <v>0</v>
      </c>
      <c r="R17" s="4">
        <v>1174.0</v>
      </c>
      <c r="S17" s="5">
        <v>88742.66</v>
      </c>
      <c r="T17" s="4">
        <v>812.166666</v>
      </c>
      <c r="U17" s="8">
        <v>1.4455161103595</v>
      </c>
      <c r="V17" s="5">
        <v>427171.879</v>
      </c>
      <c r="W17" s="5">
        <v>86.524585578286</v>
      </c>
      <c r="X17" s="5">
        <v>635619.109</v>
      </c>
      <c r="Y17" s="5">
        <v>128.74602167308</v>
      </c>
      <c r="Z17" s="5">
        <v>208447.23</v>
      </c>
      <c r="AA17" s="5">
        <v>42.221436094794</v>
      </c>
      <c r="AB17" s="9">
        <v>0.32794361756673</v>
      </c>
      <c r="AC17" s="4">
        <v>4937.0</v>
      </c>
      <c r="AD17" s="6">
        <v>0</v>
      </c>
      <c r="AE17" s="6">
        <v>0</v>
      </c>
      <c r="AF17" s="6">
        <v>0</v>
      </c>
      <c r="AG17" s="3">
        <v>0</v>
      </c>
      <c r="AH17" s="6">
        <v>0</v>
      </c>
      <c r="AI17" s="6">
        <v>0</v>
      </c>
      <c r="AJ17" s="5">
        <v>7307.28</v>
      </c>
      <c r="AK17" s="5">
        <v>71.64</v>
      </c>
      <c r="AL17" s="5">
        <v>12849.55</v>
      </c>
      <c r="AM17" s="5">
        <v>125.97598039216</v>
      </c>
      <c r="AN17" s="5">
        <v>5542.27</v>
      </c>
      <c r="AO17" s="5">
        <v>54.335980392157</v>
      </c>
      <c r="AP17" s="9">
        <v>0.43132016296291</v>
      </c>
      <c r="AQ17" s="4">
        <v>102.0</v>
      </c>
      <c r="AR17" s="6">
        <v>0</v>
      </c>
      <c r="AS17" s="6">
        <v>0</v>
      </c>
      <c r="AT17" s="6">
        <v>0</v>
      </c>
      <c r="AU17" s="3">
        <v>0</v>
      </c>
      <c r="AV17" s="6">
        <v>0</v>
      </c>
      <c r="AW17" s="6">
        <v>0</v>
      </c>
    </row>
    <row r="18" spans="1:49">
      <c r="A18" s="3">
        <v>16</v>
      </c>
      <c r="B18" s="3" t="s">
        <v>74</v>
      </c>
      <c r="C18" t="s">
        <v>75</v>
      </c>
      <c r="D18" s="3" t="s">
        <v>45</v>
      </c>
      <c r="E18" s="4">
        <v>2160.0</v>
      </c>
      <c r="F18" s="5">
        <v>219479.04</v>
      </c>
      <c r="G18" s="4">
        <v>1278.0</v>
      </c>
      <c r="H18" s="5">
        <v>103046.616</v>
      </c>
      <c r="I18" s="6">
        <v>0</v>
      </c>
      <c r="J18" s="6">
        <v>0</v>
      </c>
      <c r="K18" s="4">
        <v>2233.636356</v>
      </c>
      <c r="L18" s="5">
        <v>167976.15488</v>
      </c>
      <c r="M18" s="7">
        <v>0.42783882588272</v>
      </c>
      <c r="N18" s="4">
        <v>1828.0</v>
      </c>
      <c r="O18" s="4">
        <v>159.545454</v>
      </c>
      <c r="P18" s="4">
        <v>13.0</v>
      </c>
      <c r="Q18" s="6">
        <v>0</v>
      </c>
      <c r="R18" s="4">
        <v>468.0</v>
      </c>
      <c r="S18" s="5">
        <v>35195.004</v>
      </c>
      <c r="T18" s="4">
        <v>300.0</v>
      </c>
      <c r="U18" s="8">
        <v>1.56</v>
      </c>
      <c r="V18" s="5">
        <v>171223.344</v>
      </c>
      <c r="W18" s="5">
        <v>93.667037199125</v>
      </c>
      <c r="X18" s="5">
        <v>273496.163</v>
      </c>
      <c r="Y18" s="5">
        <v>149.61496881838</v>
      </c>
      <c r="Z18" s="5">
        <v>102272.819</v>
      </c>
      <c r="AA18" s="5">
        <v>55.947931619256</v>
      </c>
      <c r="AB18" s="9">
        <v>0.3739460834776</v>
      </c>
      <c r="AC18" s="4">
        <v>1828.0</v>
      </c>
      <c r="AD18" s="6">
        <v>0</v>
      </c>
      <c r="AE18" s="6">
        <v>0</v>
      </c>
      <c r="AF18" s="6">
        <v>0</v>
      </c>
      <c r="AG18" s="3">
        <v>0</v>
      </c>
      <c r="AH18" s="6">
        <v>0</v>
      </c>
      <c r="AI18" s="6">
        <v>0</v>
      </c>
      <c r="AJ18" s="5">
        <v>1054.461</v>
      </c>
      <c r="AK18" s="5">
        <v>81.112384615385</v>
      </c>
      <c r="AL18" s="5">
        <v>2103.89</v>
      </c>
      <c r="AM18" s="5">
        <v>161.83769230769</v>
      </c>
      <c r="AN18" s="5">
        <v>1049.429</v>
      </c>
      <c r="AO18" s="5">
        <v>80.725307692308</v>
      </c>
      <c r="AP18" s="9">
        <v>0.49880411998726</v>
      </c>
      <c r="AQ18" s="4">
        <v>13.0</v>
      </c>
      <c r="AR18" s="6">
        <v>0</v>
      </c>
      <c r="AS18" s="6">
        <v>0</v>
      </c>
      <c r="AT18" s="6">
        <v>0</v>
      </c>
      <c r="AU18" s="3">
        <v>0</v>
      </c>
      <c r="AV18" s="6">
        <v>0</v>
      </c>
      <c r="AW18" s="6">
        <v>0</v>
      </c>
    </row>
    <row r="19" spans="1:49">
      <c r="A19" s="3">
        <v>17</v>
      </c>
      <c r="B19" s="3" t="s">
        <v>76</v>
      </c>
      <c r="C19" t="s">
        <v>77</v>
      </c>
      <c r="D19" s="3" t="s">
        <v>45</v>
      </c>
      <c r="E19" s="4">
        <v>1710.0</v>
      </c>
      <c r="F19" s="5">
        <v>116459.1</v>
      </c>
      <c r="G19" s="4">
        <v>1008.0</v>
      </c>
      <c r="H19" s="5">
        <v>61596.36</v>
      </c>
      <c r="I19" s="6">
        <v>0</v>
      </c>
      <c r="J19" s="6">
        <v>0</v>
      </c>
      <c r="K19" s="4">
        <v>1734.72726</v>
      </c>
      <c r="L19" s="5">
        <v>104742.831959</v>
      </c>
      <c r="M19" s="7">
        <v>0.41892882919243</v>
      </c>
      <c r="N19" s="4">
        <v>1274.0</v>
      </c>
      <c r="O19" s="4">
        <v>123.90909</v>
      </c>
      <c r="P19" s="4">
        <v>16.0</v>
      </c>
      <c r="Q19" s="6">
        <v>0</v>
      </c>
      <c r="R19" s="4">
        <v>493.0</v>
      </c>
      <c r="S19" s="5">
        <v>29767.34</v>
      </c>
      <c r="T19" s="4">
        <v>208.833333</v>
      </c>
      <c r="U19" s="8">
        <v>2.3607342415973</v>
      </c>
      <c r="V19" s="5">
        <v>84835.512</v>
      </c>
      <c r="W19" s="5">
        <v>66.589883830455</v>
      </c>
      <c r="X19" s="5">
        <v>164319.879</v>
      </c>
      <c r="Y19" s="5">
        <v>128.97949686028</v>
      </c>
      <c r="Z19" s="5">
        <v>79484.367</v>
      </c>
      <c r="AA19" s="5">
        <v>62.389613029827</v>
      </c>
      <c r="AB19" s="9">
        <v>0.4837172926594</v>
      </c>
      <c r="AC19" s="4">
        <v>1274.0</v>
      </c>
      <c r="AD19" s="6">
        <v>0</v>
      </c>
      <c r="AE19" s="6">
        <v>0</v>
      </c>
      <c r="AF19" s="6">
        <v>0</v>
      </c>
      <c r="AG19" s="3">
        <v>0</v>
      </c>
      <c r="AH19" s="6">
        <v>0</v>
      </c>
      <c r="AI19" s="6">
        <v>0</v>
      </c>
      <c r="AJ19" s="5">
        <v>966.08</v>
      </c>
      <c r="AK19" s="5">
        <v>60.38</v>
      </c>
      <c r="AL19" s="5">
        <v>2291.2</v>
      </c>
      <c r="AM19" s="5">
        <v>143.2</v>
      </c>
      <c r="AN19" s="5">
        <v>1325.12</v>
      </c>
      <c r="AO19" s="5">
        <v>82.82</v>
      </c>
      <c r="AP19" s="9">
        <v>0.57835195530726</v>
      </c>
      <c r="AQ19" s="4">
        <v>16.0</v>
      </c>
      <c r="AR19" s="6">
        <v>0</v>
      </c>
      <c r="AS19" s="6">
        <v>0</v>
      </c>
      <c r="AT19" s="6">
        <v>0</v>
      </c>
      <c r="AU19" s="3">
        <v>0</v>
      </c>
      <c r="AV19" s="6">
        <v>0</v>
      </c>
      <c r="AW19" s="6">
        <v>0</v>
      </c>
    </row>
    <row r="20" spans="1:49">
      <c r="A20" s="3">
        <v>18</v>
      </c>
      <c r="B20" s="3" t="s">
        <v>78</v>
      </c>
      <c r="C20" t="s">
        <v>79</v>
      </c>
      <c r="D20" s="3" t="s">
        <v>45</v>
      </c>
      <c r="E20" s="4">
        <v>1560.0</v>
      </c>
      <c r="F20" s="5">
        <v>91677.0</v>
      </c>
      <c r="G20" s="4">
        <v>1008.0</v>
      </c>
      <c r="H20" s="5">
        <v>52515.792</v>
      </c>
      <c r="I20" s="6">
        <v>0</v>
      </c>
      <c r="J20" s="6">
        <v>0</v>
      </c>
      <c r="K20" s="4">
        <v>1204.0</v>
      </c>
      <c r="L20" s="5">
        <v>63106.456</v>
      </c>
      <c r="M20" s="7">
        <v>0.16279069767442</v>
      </c>
      <c r="N20" s="4">
        <v>968.0</v>
      </c>
      <c r="O20" s="4">
        <v>86.0</v>
      </c>
      <c r="P20" s="4">
        <v>12.0</v>
      </c>
      <c r="Q20" s="6">
        <v>0</v>
      </c>
      <c r="R20" s="4">
        <v>668.0</v>
      </c>
      <c r="S20" s="5">
        <v>35012.552</v>
      </c>
      <c r="T20" s="4">
        <v>154.5</v>
      </c>
      <c r="U20" s="11">
        <v>4.3236245954693</v>
      </c>
      <c r="V20" s="5">
        <v>56484.141</v>
      </c>
      <c r="W20" s="5">
        <v>58.351385330579</v>
      </c>
      <c r="X20" s="5">
        <v>116131.766</v>
      </c>
      <c r="Y20" s="5">
        <v>119.97083264463</v>
      </c>
      <c r="Z20" s="5">
        <v>59647.625</v>
      </c>
      <c r="AA20" s="5">
        <v>61.61944731405</v>
      </c>
      <c r="AB20" s="9">
        <v>0.5136202354832</v>
      </c>
      <c r="AC20" s="4">
        <v>968.0</v>
      </c>
      <c r="AD20" s="6">
        <v>0</v>
      </c>
      <c r="AE20" s="6">
        <v>0</v>
      </c>
      <c r="AF20" s="6">
        <v>0</v>
      </c>
      <c r="AG20" s="3">
        <v>0</v>
      </c>
      <c r="AH20" s="6">
        <v>0</v>
      </c>
      <c r="AI20" s="6">
        <v>0</v>
      </c>
      <c r="AJ20" s="5">
        <v>621.4</v>
      </c>
      <c r="AK20" s="5">
        <v>51.783333333333</v>
      </c>
      <c r="AL20" s="5">
        <v>1565.49</v>
      </c>
      <c r="AM20" s="5">
        <v>130.4575</v>
      </c>
      <c r="AN20" s="5">
        <v>944.09</v>
      </c>
      <c r="AO20" s="5">
        <v>78.674166666667</v>
      </c>
      <c r="AP20" s="9">
        <v>0.60306357753802</v>
      </c>
      <c r="AQ20" s="4">
        <v>12.0</v>
      </c>
      <c r="AR20" s="6">
        <v>0</v>
      </c>
      <c r="AS20" s="6">
        <v>0</v>
      </c>
      <c r="AT20" s="6">
        <v>0</v>
      </c>
      <c r="AU20" s="3">
        <v>0</v>
      </c>
      <c r="AV20" s="6">
        <v>0</v>
      </c>
      <c r="AW20" s="6">
        <v>0</v>
      </c>
    </row>
    <row r="21" spans="1:49">
      <c r="A21" s="3">
        <v>19</v>
      </c>
      <c r="B21" s="3" t="s">
        <v>80</v>
      </c>
      <c r="C21" t="s">
        <v>81</v>
      </c>
      <c r="D21" s="3" t="s">
        <v>45</v>
      </c>
      <c r="E21" s="4">
        <v>4320.0</v>
      </c>
      <c r="F21" s="5">
        <v>377343.9</v>
      </c>
      <c r="G21" s="4">
        <v>720.0</v>
      </c>
      <c r="H21" s="5">
        <v>48592.8</v>
      </c>
      <c r="I21" s="6">
        <v>0</v>
      </c>
      <c r="J21" s="6">
        <v>0</v>
      </c>
      <c r="K21" s="4">
        <v>2831.818178</v>
      </c>
      <c r="L21" s="5">
        <v>191119.408833</v>
      </c>
      <c r="M21" s="7">
        <v>0.7457463881002</v>
      </c>
      <c r="N21" s="4">
        <v>2250.0</v>
      </c>
      <c r="O21" s="4">
        <v>202.272727</v>
      </c>
      <c r="P21" s="4">
        <v>11.0</v>
      </c>
      <c r="Q21" s="6">
        <v>0</v>
      </c>
      <c r="R21" s="4">
        <v>1518.0</v>
      </c>
      <c r="S21" s="5">
        <v>102449.82</v>
      </c>
      <c r="T21" s="4">
        <v>365.666666</v>
      </c>
      <c r="U21" s="11">
        <v>4.1513217942595</v>
      </c>
      <c r="V21" s="5">
        <v>193508.467</v>
      </c>
      <c r="W21" s="5">
        <v>86.003763111111</v>
      </c>
      <c r="X21" s="5">
        <v>277411.424</v>
      </c>
      <c r="Y21" s="5">
        <v>123.29396622222</v>
      </c>
      <c r="Z21" s="5">
        <v>83902.957</v>
      </c>
      <c r="AA21" s="5">
        <v>37.290203111111</v>
      </c>
      <c r="AB21" s="9">
        <v>0.30244953791088</v>
      </c>
      <c r="AC21" s="4">
        <v>2250.0</v>
      </c>
      <c r="AD21" s="6">
        <v>0</v>
      </c>
      <c r="AE21" s="6">
        <v>0</v>
      </c>
      <c r="AF21" s="6">
        <v>0</v>
      </c>
      <c r="AG21" s="3">
        <v>0</v>
      </c>
      <c r="AH21" s="6">
        <v>0</v>
      </c>
      <c r="AI21" s="6">
        <v>0</v>
      </c>
      <c r="AJ21" s="5">
        <v>981.097</v>
      </c>
      <c r="AK21" s="5">
        <v>89.190636363636</v>
      </c>
      <c r="AL21" s="5">
        <v>1567.6</v>
      </c>
      <c r="AM21" s="5">
        <v>142.50909090909</v>
      </c>
      <c r="AN21" s="5">
        <v>586.503</v>
      </c>
      <c r="AO21" s="5">
        <v>53.318454545455</v>
      </c>
      <c r="AP21" s="9">
        <v>0.37414072467466</v>
      </c>
      <c r="AQ21" s="4">
        <v>11.0</v>
      </c>
      <c r="AR21" s="6">
        <v>0</v>
      </c>
      <c r="AS21" s="6">
        <v>0</v>
      </c>
      <c r="AT21" s="6">
        <v>0</v>
      </c>
      <c r="AU21" s="3">
        <v>0</v>
      </c>
      <c r="AV21" s="6">
        <v>0</v>
      </c>
      <c r="AW21" s="6">
        <v>0</v>
      </c>
    </row>
    <row r="22" spans="1:49">
      <c r="A22" s="3">
        <v>20</v>
      </c>
      <c r="B22" s="3" t="s">
        <v>82</v>
      </c>
      <c r="C22" t="s">
        <v>83</v>
      </c>
      <c r="D22" s="3" t="s">
        <v>45</v>
      </c>
      <c r="E22" s="4">
        <v>2100.0</v>
      </c>
      <c r="F22" s="5">
        <v>106557.0</v>
      </c>
      <c r="G22" s="4">
        <v>1020.0</v>
      </c>
      <c r="H22" s="5">
        <v>40983.6</v>
      </c>
      <c r="I22" s="6">
        <v>0</v>
      </c>
      <c r="J22" s="6">
        <v>0</v>
      </c>
      <c r="K22" s="4">
        <v>1612.545452</v>
      </c>
      <c r="L22" s="5">
        <v>63824.54899</v>
      </c>
      <c r="M22" s="7">
        <v>0.36745969006026</v>
      </c>
      <c r="N22" s="4">
        <v>1281.0</v>
      </c>
      <c r="O22" s="4">
        <v>115.181818</v>
      </c>
      <c r="P22" s="4">
        <v>12.0</v>
      </c>
      <c r="Q22" s="6">
        <v>0</v>
      </c>
      <c r="R22" s="4">
        <v>818.0</v>
      </c>
      <c r="S22" s="5">
        <v>32376.44</v>
      </c>
      <c r="T22" s="4">
        <v>204.333333</v>
      </c>
      <c r="U22" s="11">
        <v>4.0032626492712</v>
      </c>
      <c r="V22" s="5">
        <v>62395.075</v>
      </c>
      <c r="W22" s="5">
        <v>48.708099141296</v>
      </c>
      <c r="X22" s="5">
        <v>135866.866</v>
      </c>
      <c r="Y22" s="5">
        <v>106.06312724434</v>
      </c>
      <c r="Z22" s="5">
        <v>73471.791</v>
      </c>
      <c r="AA22" s="5">
        <v>57.355028103044</v>
      </c>
      <c r="AB22" s="9">
        <v>0.54076312469002</v>
      </c>
      <c r="AC22" s="4">
        <v>1281.0</v>
      </c>
      <c r="AD22" s="6">
        <v>0</v>
      </c>
      <c r="AE22" s="6">
        <v>0</v>
      </c>
      <c r="AF22" s="6">
        <v>0</v>
      </c>
      <c r="AG22" s="3">
        <v>0</v>
      </c>
      <c r="AH22" s="6">
        <v>0</v>
      </c>
      <c r="AI22" s="6">
        <v>0</v>
      </c>
      <c r="AJ22" s="5">
        <v>489.36</v>
      </c>
      <c r="AK22" s="5">
        <v>40.78</v>
      </c>
      <c r="AL22" s="5">
        <v>1383.52</v>
      </c>
      <c r="AM22" s="5">
        <v>115.29333333333</v>
      </c>
      <c r="AN22" s="5">
        <v>894.16</v>
      </c>
      <c r="AO22" s="5">
        <v>74.513333333333</v>
      </c>
      <c r="AP22" s="9">
        <v>0.64629351220076</v>
      </c>
      <c r="AQ22" s="4">
        <v>12.0</v>
      </c>
      <c r="AR22" s="6">
        <v>0</v>
      </c>
      <c r="AS22" s="6">
        <v>0</v>
      </c>
      <c r="AT22" s="6">
        <v>0</v>
      </c>
      <c r="AU22" s="3">
        <v>0</v>
      </c>
      <c r="AV22" s="6">
        <v>0</v>
      </c>
      <c r="AW22" s="6">
        <v>0</v>
      </c>
    </row>
    <row r="23" spans="1:49">
      <c r="A23" s="3">
        <v>21</v>
      </c>
      <c r="B23" s="3" t="s">
        <v>84</v>
      </c>
      <c r="C23" t="s">
        <v>85</v>
      </c>
      <c r="D23" s="3" t="s">
        <v>45</v>
      </c>
      <c r="E23" s="4">
        <v>4600.0</v>
      </c>
      <c r="F23" s="5">
        <v>114228.0</v>
      </c>
      <c r="G23" s="4">
        <v>800.0</v>
      </c>
      <c r="H23" s="5">
        <v>15352.0</v>
      </c>
      <c r="I23" s="6">
        <v>0</v>
      </c>
      <c r="J23" s="6">
        <v>0</v>
      </c>
      <c r="K23" s="4">
        <v>12418.0</v>
      </c>
      <c r="L23" s="5">
        <v>241530.1</v>
      </c>
      <c r="M23" s="7">
        <v>0.93557738766307</v>
      </c>
      <c r="N23" s="4">
        <v>10226.0</v>
      </c>
      <c r="O23" s="4">
        <v>887.0</v>
      </c>
      <c r="P23" s="4">
        <v>106.0</v>
      </c>
      <c r="Q23" s="6">
        <v>0</v>
      </c>
      <c r="R23" s="4">
        <v>917.0</v>
      </c>
      <c r="S23" s="5">
        <v>17835.65</v>
      </c>
      <c r="T23" s="4">
        <v>1673.0</v>
      </c>
      <c r="U23" s="8">
        <v>0.54811715481172</v>
      </c>
      <c r="V23" s="5">
        <v>250726.342</v>
      </c>
      <c r="W23" s="5">
        <v>24.518515744181</v>
      </c>
      <c r="X23" s="5">
        <v>368904.02</v>
      </c>
      <c r="Y23" s="5">
        <v>36.075104635243</v>
      </c>
      <c r="Z23" s="5">
        <v>118177.678</v>
      </c>
      <c r="AA23" s="5">
        <v>11.556588891062</v>
      </c>
      <c r="AB23" s="9">
        <v>0.32034803524234</v>
      </c>
      <c r="AC23" s="4">
        <v>10226.0</v>
      </c>
      <c r="AD23" s="6">
        <v>0</v>
      </c>
      <c r="AE23" s="6">
        <v>0</v>
      </c>
      <c r="AF23" s="6">
        <v>0</v>
      </c>
      <c r="AG23" s="3">
        <v>0</v>
      </c>
      <c r="AH23" s="6">
        <v>0</v>
      </c>
      <c r="AI23" s="6">
        <v>0</v>
      </c>
      <c r="AJ23" s="5">
        <v>2120.819</v>
      </c>
      <c r="AK23" s="5">
        <v>20.007726415094</v>
      </c>
      <c r="AL23" s="5">
        <v>3852.909</v>
      </c>
      <c r="AM23" s="5">
        <v>36.348198113208</v>
      </c>
      <c r="AN23" s="5">
        <v>1732.09</v>
      </c>
      <c r="AO23" s="5">
        <v>16.340471698113</v>
      </c>
      <c r="AP23" s="9">
        <v>0.44955383062512</v>
      </c>
      <c r="AQ23" s="4">
        <v>106.0</v>
      </c>
      <c r="AR23" s="6">
        <v>0</v>
      </c>
      <c r="AS23" s="6">
        <v>0</v>
      </c>
      <c r="AT23" s="6">
        <v>0</v>
      </c>
      <c r="AU23" s="3">
        <v>0</v>
      </c>
      <c r="AV23" s="6">
        <v>0</v>
      </c>
      <c r="AW23" s="6">
        <v>0</v>
      </c>
    </row>
    <row r="24" spans="1:49">
      <c r="A24" s="1" t="s">
        <v>86</v>
      </c>
      <c r="B24" s="1"/>
      <c r="C24" s="1"/>
      <c r="D24" s="1"/>
      <c r="E24" s="1"/>
      <c r="F24" s="12">
        <f>SUM(F3:F24)</f>
        <v>13969845.94</v>
      </c>
      <c r="G24" s="1"/>
      <c r="H24" s="12">
        <f>SUM(H3:H24)</f>
        <v>9092145.963</v>
      </c>
      <c r="I24" s="1"/>
      <c r="J24" s="12">
        <f>SUM(J3:J24)</f>
        <v>0</v>
      </c>
      <c r="K24" s="1"/>
      <c r="L24" s="12">
        <f>SUM(L3:L24)</f>
        <v>21416493.207149</v>
      </c>
      <c r="M24" s="1"/>
      <c r="N24" s="1"/>
      <c r="O24" s="1"/>
      <c r="P24" s="1"/>
      <c r="Q24" s="1"/>
      <c r="R24" s="1"/>
      <c r="S24" s="12">
        <f>SUM(S3:S24)</f>
        <v>2956261.593</v>
      </c>
      <c r="T24" s="1"/>
      <c r="U24" s="1"/>
      <c r="V24" s="12">
        <f>SUM(V3:V24)</f>
        <v>19363549.282</v>
      </c>
      <c r="W24" s="1"/>
      <c r="X24" s="12">
        <f>SUM(X3:X24)</f>
        <v>29546094.444</v>
      </c>
      <c r="Y24" s="1"/>
      <c r="Z24" s="12">
        <f>SUM(Z3:Z24)</f>
        <v>10182545.162</v>
      </c>
      <c r="AA24" s="1"/>
      <c r="AB24" s="1"/>
      <c r="AC24" s="1"/>
      <c r="AD24" s="1"/>
      <c r="AE24" s="1"/>
      <c r="AF24" s="12">
        <f>SUM(AF3:AF24)</f>
        <v>0</v>
      </c>
      <c r="AG24" s="1"/>
      <c r="AH24" s="1"/>
      <c r="AI24" s="12">
        <f>SUM(AI3:AI24)</f>
        <v>19.64</v>
      </c>
      <c r="AJ24" s="12">
        <f>SUM(AJ3:V24)</f>
        <v>119055922.74496</v>
      </c>
      <c r="AK24" s="1"/>
      <c r="AL24" s="12">
        <f>SUM(AL3:AL24)</f>
        <v>673709.753</v>
      </c>
      <c r="AM24" s="1"/>
      <c r="AN24" s="12">
        <f>SUM(AN3:AN24)</f>
        <v>251679.236</v>
      </c>
      <c r="AO24" s="1"/>
      <c r="AP24" s="1"/>
      <c r="AQ24" s="1"/>
      <c r="AR24" s="1"/>
      <c r="AS24" s="1"/>
      <c r="AT24" s="12">
        <f>SUM(AT3:AT24)</f>
        <v>0</v>
      </c>
      <c r="AU24" s="1"/>
      <c r="AV24" s="1"/>
      <c r="AW24" s="12">
        <f>SUM(AW3:AW24)</f>
        <v>19.64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24:D2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3"/>
  <sheetViews>
    <sheetView tabSelected="0" workbookViewId="0" showGridLines="true" showRowColHeaders="1">
      <pane ySplit="1" topLeftCell="A2" activePane="bottomLeft" state="frozen"/>
      <selection pane="bottomLeft" activeCell="I3" sqref="I3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1</v>
      </c>
      <c r="G1" s="1" t="s">
        <v>2</v>
      </c>
      <c r="H1" s="1" t="s">
        <v>91</v>
      </c>
      <c r="I1" s="1" t="s">
        <v>92</v>
      </c>
      <c r="J1" s="1" t="s">
        <v>93</v>
      </c>
      <c r="K1" s="1" t="s">
        <v>94</v>
      </c>
      <c r="L1" s="1" t="s">
        <v>95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96</v>
      </c>
      <c r="C2" s="3" t="s">
        <v>97</v>
      </c>
      <c r="D2" s="13">
        <v>45051.0</v>
      </c>
      <c r="E2" t="s">
        <v>98</v>
      </c>
      <c r="F2" s="3" t="s">
        <v>48</v>
      </c>
      <c r="G2" t="s">
        <v>49</v>
      </c>
      <c r="H2" s="3" t="s">
        <v>99</v>
      </c>
      <c r="I2" s="4">
        <v>5.0</v>
      </c>
      <c r="J2" t="s">
        <v>100</v>
      </c>
      <c r="K2" t="s">
        <v>101</v>
      </c>
      <c r="L2"/>
    </row>
    <row r="3" spans="1:36">
      <c r="A3" s="3">
        <v>2</v>
      </c>
      <c r="B3" t="s">
        <v>96</v>
      </c>
      <c r="C3" s="3" t="s">
        <v>102</v>
      </c>
      <c r="D3" s="13">
        <v>45299.0</v>
      </c>
      <c r="E3" t="s">
        <v>98</v>
      </c>
      <c r="F3" s="3" t="s">
        <v>48</v>
      </c>
      <c r="G3" t="s">
        <v>49</v>
      </c>
      <c r="H3" s="3" t="s">
        <v>99</v>
      </c>
      <c r="I3" s="4">
        <v>1.0</v>
      </c>
      <c r="J3" t="s">
        <v>100</v>
      </c>
      <c r="K3" t="s">
        <v>101</v>
      </c>
      <c r="L3" t="s">
        <v>103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2024-01-12T08:56:42+07:00</dcterms:created>
  <dcterms:modified xsi:type="dcterms:W3CDTF">2024-01-12T08:56:42+07:00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