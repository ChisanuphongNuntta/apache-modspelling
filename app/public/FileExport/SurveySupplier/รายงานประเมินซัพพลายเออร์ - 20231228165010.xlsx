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<sst xmlns="http://schemas.openxmlformats.org/spreadsheetml/2006/main" uniqueCount="94">
  <si>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</si>
  <si>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</si>
  <si>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</si>
  <si>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</si>
  <si>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</si>
  <si>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</si>
  <si>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</si>
  <si>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</si>
  <si>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</si>
  <si>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</si>
  <si>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</si>
  <si>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</si>
  <si>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</si>
  <si>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</si>
  <si>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</si>
  <si>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28/12/2023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</si>
  <si>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</si>
  <si>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</si>
  <si>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</si>
  <si>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</si>
  <si>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</si>
  <si>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</si>
  <si>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</si>
  <si>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</si>
  <si>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</si>
  <si>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</si>
  <si>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</si>
  <si>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</si>
  <si>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</si>
  <si>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</si>
  <si>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</si>
  <si>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</si>
  <si>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</si>
  <si>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</si>
  <si>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</si>
  <si>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</si>
  <si>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</si>
  <si>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</si>
  <si>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</si>
  <si>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</si>
  <si>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</si>
  <si>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</si>
  <si>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</si>
  <si>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05-001-331</t>
  </si>
  <si>
    <t>เจียร์ไฟฟ้า 4" EUROX 9556N</t>
  </si>
  <si>
    <t>A</t>
  </si>
  <si>
    <t>05-001-340</t>
  </si>
  <si>
    <t>เจียรไฟฟ้า 4" EUROX GA-100</t>
  </si>
  <si>
    <t>05-030-010</t>
  </si>
  <si>
    <t>สว่านกระแทกไร้สาย 12V. (1A)</t>
  </si>
  <si>
    <t>D22</t>
  </si>
  <si>
    <t>DEAD</t>
  </si>
  <si>
    <t>05-030-030</t>
  </si>
  <si>
    <t>สว่านกระแทกไร้สาย EUROX 12V. II</t>
  </si>
  <si>
    <t>M</t>
  </si>
  <si>
    <t>05-030-900</t>
  </si>
  <si>
    <t>มอเตอร์ สว่านกระแทกไร้สาย 12V. II</t>
  </si>
  <si>
    <t>05-100-690</t>
  </si>
  <si>
    <t>0810EU-40.Armature</t>
  </si>
  <si>
    <t>D</t>
  </si>
  <si>
    <t>05-100-700</t>
  </si>
  <si>
    <t>0810EU-50.CarbonBrush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</si>
  <si>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</si>
  <si>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</si>
  <si>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</si>
  <si>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</si>
  <si>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</si>
  <si>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</si>
  <si>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</si>
  <si>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</si>
  <si>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</si>
  <si>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</si>
  <si>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</si>
  <si>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RN-65052048</t>
  </si>
  <si>
    <t>M-00043 - ดูโฮม-โคราช (สาขาที่2)</t>
  </si>
  <si>
    <t>WP5</t>
  </si>
  <si>
    <t>ตัว</t>
  </si>
  <si>
    <t>สินค้าชำรุดสภาพดี AX</t>
  </si>
  <si>
    <t>ที่ชาร์จแบตเสียไฟไม่ติด</t>
  </si>
  <si>
    <t>PE-65111001</t>
  </si>
  <si>
    <t>M-00378 - ดูโฮม-แหลมฉบัง</t>
  </si>
  <si>
    <t>ชำรุดจากโรงงาน</t>
  </si>
  <si>
    <t>ตัวปรับเสีย</t>
  </si>
  <si>
    <t>RN-65112032</t>
  </si>
  <si>
    <t>ขั้วแบตบีบเข้าหากันทำให้เสียบไม่ได้</t>
  </si>
  <si>
    <t>RN-65122029</t>
  </si>
  <si>
    <t>M-00451 - ดูโฮม - บุรีรัมย์ (สาขา00036)</t>
  </si>
  <si>
    <t>ขั้วแบตสั้นทำให้ชาร์จไฟไม่เข้า</t>
  </si>
  <si>
    <t>PN-66014015</t>
  </si>
  <si>
    <t>M-00425 - ดูโฮม - หาดใหญ่(สาขาที่00032)</t>
  </si>
  <si>
    <t>PCS</t>
  </si>
  <si>
    <t>แท่นชาร์จเสีย ชาร์จไม่ได้</t>
  </si>
  <si>
    <t>RN-66052073</t>
  </si>
  <si>
    <t>เครื่องไม่ทำงานแบตมีไฟ สวิตซ์เสีย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</si>
</sst>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a111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0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0" sqref="AW10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1300.0</v>
      </c>
      <c r="F3" s="5">
        <v>633021.0</v>
      </c>
      <c r="G3" s="6">
        <v>0</v>
      </c>
      <c r="H3" s="6">
        <v>0</v>
      </c>
      <c r="I3" s="4">
        <v>1000.0</v>
      </c>
      <c r="J3" s="5">
        <v>536759.0</v>
      </c>
      <c r="K3" s="4">
        <v>857.818178</v>
      </c>
      <c r="L3" s="5">
        <v>460441.627405</v>
      </c>
      <c r="M3" s="7">
        <v>-0.16574820357794</v>
      </c>
      <c r="N3" s="4">
        <v>512.0</v>
      </c>
      <c r="O3" s="4">
        <v>46.545454</v>
      </c>
      <c r="P3" s="4">
        <v>673.0</v>
      </c>
      <c r="Q3" s="4">
        <v>61.272727</v>
      </c>
      <c r="R3" s="4">
        <v>665.0</v>
      </c>
      <c r="S3" s="5">
        <v>356944.735</v>
      </c>
      <c r="T3" s="4">
        <v>56.333333</v>
      </c>
      <c r="U3" s="8">
        <v>11.804733797661</v>
      </c>
      <c r="V3" s="5">
        <v>253684.778</v>
      </c>
      <c r="W3" s="5">
        <v>495.47808203125</v>
      </c>
      <c r="X3" s="5">
        <v>381771.505</v>
      </c>
      <c r="Y3" s="5">
        <v>745.64747070313</v>
      </c>
      <c r="Z3" s="5">
        <v>128086.727</v>
      </c>
      <c r="AA3" s="5">
        <v>250.16938867187</v>
      </c>
      <c r="AB3" s="9">
        <v>0.33550625262092</v>
      </c>
      <c r="AC3" s="4">
        <v>512.0</v>
      </c>
      <c r="AD3" s="6">
        <v>0</v>
      </c>
      <c r="AE3" s="6">
        <v>0</v>
      </c>
      <c r="AF3" s="6">
        <v>0</v>
      </c>
      <c r="AG3" s="3">
        <v>0</v>
      </c>
      <c r="AH3" s="6">
        <v>0</v>
      </c>
      <c r="AI3" s="6">
        <v>0</v>
      </c>
      <c r="AJ3" s="5">
        <v>347357.951</v>
      </c>
      <c r="AK3" s="5">
        <v>516.13365676077</v>
      </c>
      <c r="AL3" s="5">
        <v>498458.732</v>
      </c>
      <c r="AM3" s="5">
        <v>740.65190490342</v>
      </c>
      <c r="AN3" s="5">
        <v>151100.781</v>
      </c>
      <c r="AO3" s="5">
        <v>224.51824814264</v>
      </c>
      <c r="AP3" s="9">
        <v>0.30313598960084</v>
      </c>
      <c r="AQ3" s="4">
        <v>673.0</v>
      </c>
      <c r="AR3" s="6">
        <v>0</v>
      </c>
      <c r="AS3" s="6">
        <v>0</v>
      </c>
      <c r="AT3" s="6">
        <v>0</v>
      </c>
      <c r="AU3" s="3">
        <v>0</v>
      </c>
      <c r="AV3" s="6">
        <v>0</v>
      </c>
      <c r="AW3" s="6">
        <v>0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3000.0</v>
      </c>
      <c r="F4" s="5">
        <v>1349352.0</v>
      </c>
      <c r="G4" s="6">
        <v>0</v>
      </c>
      <c r="H4" s="6">
        <v>0</v>
      </c>
      <c r="I4" s="4">
        <v>2200.0</v>
      </c>
      <c r="J4" s="5">
        <v>1100616.0</v>
      </c>
      <c r="K4" s="4">
        <v>1450.909082</v>
      </c>
      <c r="L4" s="5">
        <v>725860.795543</v>
      </c>
      <c r="M4" s="7">
        <v>-0.5162907361276</v>
      </c>
      <c r="N4" s="4">
        <v>1691.0</v>
      </c>
      <c r="O4" s="4">
        <v>151.272727</v>
      </c>
      <c r="P4" s="4">
        <v>1144.0</v>
      </c>
      <c r="Q4" s="4">
        <v>103.636363</v>
      </c>
      <c r="R4" s="4">
        <v>1269.0</v>
      </c>
      <c r="S4" s="5">
        <v>634855.32</v>
      </c>
      <c r="T4" s="4">
        <v>95.333333</v>
      </c>
      <c r="U4" s="8">
        <v>13.311188857731</v>
      </c>
      <c r="V4" s="5">
        <v>770991.241</v>
      </c>
      <c r="W4" s="5">
        <v>455.93804908338</v>
      </c>
      <c r="X4" s="5">
        <v>1227623.888</v>
      </c>
      <c r="Y4" s="5">
        <v>725.97509639267</v>
      </c>
      <c r="Z4" s="5">
        <v>456632.647</v>
      </c>
      <c r="AA4" s="5">
        <v>270.03704730928</v>
      </c>
      <c r="AB4" s="9">
        <v>0.37196461511019</v>
      </c>
      <c r="AC4" s="4">
        <v>1691.0</v>
      </c>
      <c r="AD4" s="6">
        <v>0</v>
      </c>
      <c r="AE4" s="4">
        <v>3.0</v>
      </c>
      <c r="AF4" s="6">
        <v>0</v>
      </c>
      <c r="AG4" s="10">
        <v>0.0017740981667652</v>
      </c>
      <c r="AH4" s="6">
        <v>0</v>
      </c>
      <c r="AI4" s="6">
        <v>0</v>
      </c>
      <c r="AJ4" s="5">
        <v>555387.598</v>
      </c>
      <c r="AK4" s="5">
        <v>485.47866958042</v>
      </c>
      <c r="AL4" s="5">
        <v>858124.154</v>
      </c>
      <c r="AM4" s="5">
        <v>750.10852622378</v>
      </c>
      <c r="AN4" s="5">
        <v>302736.556</v>
      </c>
      <c r="AO4" s="5">
        <v>264.62985664336</v>
      </c>
      <c r="AP4" s="9">
        <v>0.35278875974863</v>
      </c>
      <c r="AQ4" s="4">
        <v>1144.0</v>
      </c>
      <c r="AR4" s="6">
        <v>0</v>
      </c>
      <c r="AS4" s="6">
        <v>0</v>
      </c>
      <c r="AT4" s="6">
        <v>0</v>
      </c>
      <c r="AU4" s="3">
        <v>0</v>
      </c>
      <c r="AV4" s="6">
        <v>0</v>
      </c>
      <c r="AW4" s="6">
        <v>0</v>
      </c>
    </row>
    <row r="5" spans="1:49">
      <c r="A5" s="3">
        <v>3</v>
      </c>
      <c r="B5" s="3" t="s">
        <v>48</v>
      </c>
      <c r="C5" t="s">
        <v>49</v>
      </c>
      <c r="D5" s="3" t="s">
        <v>50</v>
      </c>
      <c r="E5" s="4">
        <v>500.0</v>
      </c>
      <c r="F5" s="5">
        <v>414814.5</v>
      </c>
      <c r="G5" s="6">
        <v>0</v>
      </c>
      <c r="H5" s="6">
        <v>0</v>
      </c>
      <c r="I5" s="6">
        <v>0</v>
      </c>
      <c r="J5" s="6">
        <v>0</v>
      </c>
      <c r="K5" s="4">
        <v>-2.545452</v>
      </c>
      <c r="L5" s="5">
        <v>-2111.780797</v>
      </c>
      <c r="M5" s="11">
        <v>0</v>
      </c>
      <c r="N5" s="4">
        <v>969.0</v>
      </c>
      <c r="O5" s="4">
        <v>88.454545</v>
      </c>
      <c r="P5" s="4">
        <v>-4.0</v>
      </c>
      <c r="Q5" s="4">
        <v>-0.181818</v>
      </c>
      <c r="R5" s="4">
        <v>3.0</v>
      </c>
      <c r="S5" s="5">
        <v>2488.887</v>
      </c>
      <c r="T5" s="4">
        <v>-0.333333</v>
      </c>
      <c r="U5" s="12" t="s">
        <v>51</v>
      </c>
      <c r="V5" s="5">
        <v>803000.565</v>
      </c>
      <c r="W5" s="5">
        <v>828.68995356037</v>
      </c>
      <c r="X5" s="5">
        <v>1395144.678</v>
      </c>
      <c r="Y5" s="5">
        <v>1439.7777894737</v>
      </c>
      <c r="Z5" s="5">
        <v>592144.113</v>
      </c>
      <c r="AA5" s="5">
        <v>611.08783591331</v>
      </c>
      <c r="AB5" s="9">
        <v>0.42443204804312</v>
      </c>
      <c r="AC5" s="4">
        <v>969.0</v>
      </c>
      <c r="AD5" s="4">
        <v>9.0</v>
      </c>
      <c r="AE5" s="5">
        <v>1.0</v>
      </c>
      <c r="AF5" s="6">
        <v>8296.29</v>
      </c>
      <c r="AG5" s="10">
        <v>0.001031991744066</v>
      </c>
      <c r="AH5" s="6">
        <v>0</v>
      </c>
      <c r="AI5" s="6">
        <v>0</v>
      </c>
      <c r="AJ5" s="5">
        <v>-3725.04</v>
      </c>
      <c r="AK5" s="6">
        <v>0</v>
      </c>
      <c r="AL5" s="5">
        <v>-6611.402</v>
      </c>
      <c r="AM5" s="6">
        <v>0</v>
      </c>
      <c r="AN5" s="5">
        <v>-2886.362</v>
      </c>
      <c r="AO5" s="6">
        <v>0</v>
      </c>
      <c r="AP5" s="13">
        <v>0</v>
      </c>
      <c r="AQ5" s="4">
        <v>-4.0</v>
      </c>
      <c r="AR5" s="4">
        <v>2.0</v>
      </c>
      <c r="AS5" s="4">
        <v>10.0</v>
      </c>
      <c r="AT5" s="5">
        <v>8296.29</v>
      </c>
      <c r="AU5" s="3">
        <v>0</v>
      </c>
      <c r="AV5" s="6">
        <v>0</v>
      </c>
      <c r="AW5" s="6">
        <v>0</v>
      </c>
    </row>
    <row r="6" spans="1:49">
      <c r="A6" s="3">
        <v>4</v>
      </c>
      <c r="B6" s="3" t="s">
        <v>52</v>
      </c>
      <c r="C6" t="s">
        <v>53</v>
      </c>
      <c r="D6" s="3" t="s">
        <v>54</v>
      </c>
      <c r="E6" s="4">
        <v>499.0</v>
      </c>
      <c r="F6" s="5">
        <v>444381.456</v>
      </c>
      <c r="G6" s="6">
        <v>0</v>
      </c>
      <c r="H6" s="6">
        <v>0</v>
      </c>
      <c r="I6" s="6">
        <v>0</v>
      </c>
      <c r="J6" s="6">
        <v>0</v>
      </c>
      <c r="K6" s="4">
        <v>1.272726</v>
      </c>
      <c r="L6" s="5">
        <v>1133.418503</v>
      </c>
      <c r="M6" s="14">
        <v>1.0</v>
      </c>
      <c r="N6" s="4">
        <v>201.0</v>
      </c>
      <c r="O6" s="4">
        <v>18.363636</v>
      </c>
      <c r="P6" s="6">
        <v>0</v>
      </c>
      <c r="Q6" s="4">
        <v>0.090909</v>
      </c>
      <c r="R6" s="6">
        <v>0</v>
      </c>
      <c r="S6" s="6">
        <v>0</v>
      </c>
      <c r="T6" s="6">
        <v>0</v>
      </c>
      <c r="U6" s="12" t="s">
        <v>51</v>
      </c>
      <c r="V6" s="5">
        <v>177921.058</v>
      </c>
      <c r="W6" s="5">
        <v>885.17939303483</v>
      </c>
      <c r="X6" s="5">
        <v>382859.522</v>
      </c>
      <c r="Y6" s="5">
        <v>1904.7737412935</v>
      </c>
      <c r="Z6" s="5">
        <v>204938.464</v>
      </c>
      <c r="AA6" s="5">
        <v>1019.5943482587</v>
      </c>
      <c r="AB6" s="9">
        <v>0.535283706487</v>
      </c>
      <c r="AC6" s="4">
        <v>201.0</v>
      </c>
      <c r="AD6" s="6">
        <v>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5">
        <v>141.01</v>
      </c>
      <c r="AK6" s="6">
        <v>0</v>
      </c>
      <c r="AL6" s="5">
        <v>271.028</v>
      </c>
      <c r="AM6" s="6">
        <v>0</v>
      </c>
      <c r="AN6" s="5">
        <v>130.018</v>
      </c>
      <c r="AO6" s="6">
        <v>0</v>
      </c>
      <c r="AP6" s="9">
        <v>0.4797216523754</v>
      </c>
      <c r="AQ6" s="6">
        <v>0</v>
      </c>
      <c r="AR6" s="6">
        <v>0</v>
      </c>
      <c r="AS6" s="6">
        <v>0</v>
      </c>
      <c r="AT6" s="6">
        <v>0</v>
      </c>
      <c r="AU6" s="3">
        <v>0</v>
      </c>
      <c r="AV6" s="6">
        <v>0</v>
      </c>
      <c r="AW6" s="6">
        <v>0</v>
      </c>
    </row>
    <row r="7" spans="1:49">
      <c r="A7" s="3">
        <v>5</v>
      </c>
      <c r="B7" s="3" t="s">
        <v>55</v>
      </c>
      <c r="C7" t="s">
        <v>56</v>
      </c>
      <c r="D7" s="3" t="s">
        <v>54</v>
      </c>
      <c r="E7" s="4">
        <v>5.0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4">
        <v>2.545452</v>
      </c>
      <c r="L7" s="6">
        <v>0</v>
      </c>
      <c r="M7" s="14">
        <v>1.0</v>
      </c>
      <c r="N7" s="4">
        <v>1.0</v>
      </c>
      <c r="O7" s="4">
        <v>0.090909</v>
      </c>
      <c r="P7" s="4">
        <v>2.0</v>
      </c>
      <c r="Q7" s="4">
        <v>0.181818</v>
      </c>
      <c r="R7" s="6">
        <v>0</v>
      </c>
      <c r="S7" s="6">
        <v>0</v>
      </c>
      <c r="T7" s="4">
        <v>0.166666</v>
      </c>
      <c r="U7" s="12" t="s">
        <v>51</v>
      </c>
      <c r="V7" s="6">
        <v>0</v>
      </c>
      <c r="W7" s="5">
        <v>0.0</v>
      </c>
      <c r="X7" s="5">
        <v>420.561</v>
      </c>
      <c r="Y7" s="5">
        <v>420.561</v>
      </c>
      <c r="Z7" s="5">
        <v>420.561</v>
      </c>
      <c r="AA7" s="5">
        <v>420.561</v>
      </c>
      <c r="AB7" s="9">
        <v>1.0</v>
      </c>
      <c r="AC7" s="4">
        <v>1.0</v>
      </c>
      <c r="AD7" s="6">
        <v>0</v>
      </c>
      <c r="AE7" s="6">
        <v>0</v>
      </c>
      <c r="AF7" s="6">
        <v>0</v>
      </c>
      <c r="AG7" s="3">
        <v>0</v>
      </c>
      <c r="AH7" s="6">
        <v>0</v>
      </c>
      <c r="AI7" s="6">
        <v>0</v>
      </c>
      <c r="AJ7" s="6">
        <v>0</v>
      </c>
      <c r="AK7" s="5">
        <v>0.0</v>
      </c>
      <c r="AL7" s="6">
        <v>0</v>
      </c>
      <c r="AM7" s="5">
        <v>0.0</v>
      </c>
      <c r="AN7" s="6">
        <v>0</v>
      </c>
      <c r="AO7" s="5">
        <v>0.0</v>
      </c>
      <c r="AP7" s="3">
        <v>0</v>
      </c>
      <c r="AQ7" s="4">
        <v>2.0</v>
      </c>
      <c r="AR7" s="6">
        <v>0</v>
      </c>
      <c r="AS7" s="6">
        <v>0</v>
      </c>
      <c r="AT7" s="6">
        <v>0</v>
      </c>
      <c r="AU7" s="3">
        <v>0</v>
      </c>
      <c r="AV7" s="6">
        <v>0</v>
      </c>
      <c r="AW7" s="6">
        <v>0</v>
      </c>
    </row>
    <row r="8" spans="1:49">
      <c r="A8" s="3">
        <v>6</v>
      </c>
      <c r="B8" s="3" t="s">
        <v>57</v>
      </c>
      <c r="C8" t="s">
        <v>58</v>
      </c>
      <c r="D8" s="3" t="s">
        <v>59</v>
      </c>
      <c r="E8" s="4">
        <v>5.0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4">
        <v>2.545452</v>
      </c>
      <c r="L8" s="6">
        <v>0</v>
      </c>
      <c r="M8" s="14">
        <v>1.0</v>
      </c>
      <c r="N8" s="4">
        <v>1.0</v>
      </c>
      <c r="O8" s="4">
        <v>0.090909</v>
      </c>
      <c r="P8" s="4">
        <v>2.0</v>
      </c>
      <c r="Q8" s="4">
        <v>0.181818</v>
      </c>
      <c r="R8" s="6">
        <v>0</v>
      </c>
      <c r="S8" s="6">
        <v>0</v>
      </c>
      <c r="T8" s="4">
        <v>0.166666</v>
      </c>
      <c r="U8" s="12" t="s">
        <v>51</v>
      </c>
      <c r="V8" s="6">
        <v>0</v>
      </c>
      <c r="W8" s="5">
        <v>0.0</v>
      </c>
      <c r="X8" s="6">
        <v>0</v>
      </c>
      <c r="Y8" s="5">
        <v>0.0</v>
      </c>
      <c r="Z8" s="6">
        <v>0</v>
      </c>
      <c r="AA8" s="5">
        <v>0.0</v>
      </c>
      <c r="AB8" s="3">
        <v>0</v>
      </c>
      <c r="AC8" s="4">
        <v>1.0</v>
      </c>
      <c r="AD8" s="6">
        <v>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6">
        <v>0</v>
      </c>
      <c r="AK8" s="5">
        <v>0.0</v>
      </c>
      <c r="AL8" s="5">
        <v>467.29</v>
      </c>
      <c r="AM8" s="5">
        <v>233.645</v>
      </c>
      <c r="AN8" s="5">
        <v>467.29</v>
      </c>
      <c r="AO8" s="5">
        <v>233.645</v>
      </c>
      <c r="AP8" s="9">
        <v>1.0</v>
      </c>
      <c r="AQ8" s="4">
        <v>2.0</v>
      </c>
      <c r="AR8" s="6">
        <v>0</v>
      </c>
      <c r="AS8" s="6">
        <v>0</v>
      </c>
      <c r="AT8" s="6">
        <v>0</v>
      </c>
      <c r="AU8" s="3">
        <v>0</v>
      </c>
      <c r="AV8" s="6">
        <v>0</v>
      </c>
      <c r="AW8" s="6">
        <v>0</v>
      </c>
    </row>
    <row r="9" spans="1:49">
      <c r="A9" s="3">
        <v>7</v>
      </c>
      <c r="B9" s="3" t="s">
        <v>60</v>
      </c>
      <c r="C9" t="s">
        <v>61</v>
      </c>
      <c r="D9" s="3" t="s">
        <v>59</v>
      </c>
      <c r="E9" s="4">
        <v>10.0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4">
        <v>1.272726</v>
      </c>
      <c r="L9" s="6">
        <v>0</v>
      </c>
      <c r="M9" s="14">
        <v>1.0</v>
      </c>
      <c r="N9" s="4">
        <v>1.0</v>
      </c>
      <c r="O9" s="4">
        <v>0.090909</v>
      </c>
      <c r="P9" s="4">
        <v>1.0</v>
      </c>
      <c r="Q9" s="4">
        <v>0.090909</v>
      </c>
      <c r="R9" s="6">
        <v>0</v>
      </c>
      <c r="S9" s="6">
        <v>0</v>
      </c>
      <c r="T9" s="4">
        <v>0.083333</v>
      </c>
      <c r="U9" s="12" t="s">
        <v>51</v>
      </c>
      <c r="V9" s="6">
        <v>0</v>
      </c>
      <c r="W9" s="5">
        <v>0.0</v>
      </c>
      <c r="X9" s="5">
        <v>56.081</v>
      </c>
      <c r="Y9" s="5">
        <v>56.081</v>
      </c>
      <c r="Z9" s="5">
        <v>56.081</v>
      </c>
      <c r="AA9" s="5">
        <v>56.081</v>
      </c>
      <c r="AB9" s="9">
        <v>1.0</v>
      </c>
      <c r="AC9" s="4">
        <v>1.0</v>
      </c>
      <c r="AD9" s="6">
        <v>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6">
        <v>0</v>
      </c>
      <c r="AK9" s="5">
        <v>0.0</v>
      </c>
      <c r="AL9" s="5">
        <v>140.19</v>
      </c>
      <c r="AM9" s="5">
        <v>140.19</v>
      </c>
      <c r="AN9" s="5">
        <v>140.19</v>
      </c>
      <c r="AO9" s="5">
        <v>140.19</v>
      </c>
      <c r="AP9" s="9">
        <v>1.0</v>
      </c>
      <c r="AQ9" s="4">
        <v>1.0</v>
      </c>
      <c r="AR9" s="6">
        <v>0</v>
      </c>
      <c r="AS9" s="6">
        <v>0</v>
      </c>
      <c r="AT9" s="6">
        <v>0</v>
      </c>
      <c r="AU9" s="3">
        <v>0</v>
      </c>
      <c r="AV9" s="6">
        <v>0</v>
      </c>
      <c r="AW9" s="6">
        <v>0</v>
      </c>
    </row>
    <row r="10" spans="1:49">
      <c r="A10" s="1" t="s">
        <v>62</v>
      </c>
      <c r="B10" s="1"/>
      <c r="C10" s="1"/>
      <c r="D10" s="1"/>
      <c r="E10" s="1"/>
      <c r="F10" s="15">
        <f>SUM(F3:F10)</f>
        <v>2841568.956</v>
      </c>
      <c r="G10" s="1"/>
      <c r="H10" s="15">
        <f>SUM(H3:H10)</f>
        <v>0</v>
      </c>
      <c r="I10" s="1"/>
      <c r="J10" s="15">
        <f>SUM(J3:J10)</f>
        <v>1637375</v>
      </c>
      <c r="K10" s="1"/>
      <c r="L10" s="15">
        <f>SUM(L3:L10)</f>
        <v>1185324.060654</v>
      </c>
      <c r="M10" s="1"/>
      <c r="N10" s="1"/>
      <c r="O10" s="1"/>
      <c r="P10" s="1"/>
      <c r="Q10" s="1"/>
      <c r="R10" s="1"/>
      <c r="S10" s="15">
        <f>SUM(S3:S10)</f>
        <v>994288.942</v>
      </c>
      <c r="T10" s="1"/>
      <c r="U10" s="1"/>
      <c r="V10" s="15">
        <f>SUM(V3:V10)</f>
        <v>2005597.642</v>
      </c>
      <c r="W10" s="1"/>
      <c r="X10" s="15">
        <f>SUM(X3:X10)</f>
        <v>3387876.235</v>
      </c>
      <c r="Y10" s="1"/>
      <c r="Z10" s="15">
        <f>SUM(Z3:Z10)</f>
        <v>1382278.593</v>
      </c>
      <c r="AA10" s="1"/>
      <c r="AB10" s="1"/>
      <c r="AC10" s="1"/>
      <c r="AD10" s="1"/>
      <c r="AE10" s="1"/>
      <c r="AF10" s="15">
        <f>SUM(AF3:AF10)</f>
        <v>8296.29</v>
      </c>
      <c r="AG10" s="1"/>
      <c r="AH10" s="1"/>
      <c r="AI10" s="15">
        <f>SUM(AI3:AI10)</f>
        <v>0</v>
      </c>
      <c r="AJ10" s="15">
        <f>SUM(AJ3:V10)</f>
        <v>14481237.341188</v>
      </c>
      <c r="AK10" s="1"/>
      <c r="AL10" s="15">
        <f>SUM(AL3:AL10)</f>
        <v>1350849.992</v>
      </c>
      <c r="AM10" s="1"/>
      <c r="AN10" s="15">
        <f>SUM(AN3:AN10)</f>
        <v>451688.473</v>
      </c>
      <c r="AO10" s="1"/>
      <c r="AP10" s="1"/>
      <c r="AQ10" s="1"/>
      <c r="AR10" s="1"/>
      <c r="AS10" s="1"/>
      <c r="AT10" s="15">
        <f>SUM(AT3:AT10)</f>
        <v>8296.29</v>
      </c>
      <c r="AU10" s="1"/>
      <c r="AV10" s="1"/>
      <c r="AW10" s="15">
        <f>SUM(AW3:AW10)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0:D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7"/>
  <sheetViews>
    <sheetView tabSelected="0" workbookViewId="0" showGridLines="true" showRowColHeaders="1">
      <pane ySplit="1" topLeftCell="A2" activePane="bottomLeft" state="frozen"/>
      <selection pane="bottomLeft" activeCell="I7" sqref="I7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1</v>
      </c>
      <c r="G1" s="1" t="s">
        <v>2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72</v>
      </c>
      <c r="C2" s="3" t="s">
        <v>73</v>
      </c>
      <c r="D2" s="16">
        <v>44692.0</v>
      </c>
      <c r="E2" t="s">
        <v>74</v>
      </c>
      <c r="F2" s="3" t="s">
        <v>48</v>
      </c>
      <c r="G2" t="s">
        <v>49</v>
      </c>
      <c r="H2" s="3" t="s">
        <v>75</v>
      </c>
      <c r="I2" s="4">
        <v>1.0</v>
      </c>
      <c r="J2" t="s">
        <v>76</v>
      </c>
      <c r="K2" t="s">
        <v>77</v>
      </c>
      <c r="L2" t="s">
        <v>78</v>
      </c>
    </row>
    <row r="3" spans="1:36">
      <c r="A3" s="3">
        <v>2</v>
      </c>
      <c r="B3" t="s">
        <v>72</v>
      </c>
      <c r="C3" s="3" t="s">
        <v>79</v>
      </c>
      <c r="D3" s="16">
        <v>44866.0</v>
      </c>
      <c r="E3" t="s">
        <v>80</v>
      </c>
      <c r="F3" s="3" t="s">
        <v>48</v>
      </c>
      <c r="G3" t="s">
        <v>49</v>
      </c>
      <c r="H3" s="3" t="s">
        <v>75</v>
      </c>
      <c r="I3" s="4">
        <v>1.0</v>
      </c>
      <c r="J3" t="s">
        <v>76</v>
      </c>
      <c r="K3" t="s">
        <v>81</v>
      </c>
      <c r="L3" t="s">
        <v>82</v>
      </c>
    </row>
    <row r="4" spans="1:36">
      <c r="A4" s="3">
        <v>3</v>
      </c>
      <c r="B4" t="s">
        <v>72</v>
      </c>
      <c r="C4" s="3" t="s">
        <v>83</v>
      </c>
      <c r="D4" s="16">
        <v>44870.0</v>
      </c>
      <c r="E4" t="s">
        <v>74</v>
      </c>
      <c r="F4" s="3" t="s">
        <v>48</v>
      </c>
      <c r="G4" t="s">
        <v>49</v>
      </c>
      <c r="H4" s="3" t="s">
        <v>75</v>
      </c>
      <c r="I4" s="4">
        <v>3.0</v>
      </c>
      <c r="J4" t="s">
        <v>76</v>
      </c>
      <c r="K4" t="s">
        <v>77</v>
      </c>
      <c r="L4" t="s">
        <v>84</v>
      </c>
    </row>
    <row r="5" spans="1:36">
      <c r="A5" s="3">
        <v>4</v>
      </c>
      <c r="B5" t="s">
        <v>72</v>
      </c>
      <c r="C5" s="3" t="s">
        <v>85</v>
      </c>
      <c r="D5" s="16">
        <v>44905.0</v>
      </c>
      <c r="E5" t="s">
        <v>86</v>
      </c>
      <c r="F5" s="3" t="s">
        <v>48</v>
      </c>
      <c r="G5" t="s">
        <v>49</v>
      </c>
      <c r="H5" s="3" t="s">
        <v>75</v>
      </c>
      <c r="I5" s="4">
        <v>4.0</v>
      </c>
      <c r="J5" t="s">
        <v>76</v>
      </c>
      <c r="K5" t="s">
        <v>77</v>
      </c>
      <c r="L5" t="s">
        <v>87</v>
      </c>
    </row>
    <row r="6" spans="1:36">
      <c r="A6" s="3">
        <v>5</v>
      </c>
      <c r="B6" t="s">
        <v>72</v>
      </c>
      <c r="C6" s="3" t="s">
        <v>88</v>
      </c>
      <c r="D6" s="16">
        <v>44952.0</v>
      </c>
      <c r="E6" t="s">
        <v>89</v>
      </c>
      <c r="F6" s="3" t="s">
        <v>48</v>
      </c>
      <c r="G6" t="s">
        <v>49</v>
      </c>
      <c r="H6" s="3" t="s">
        <v>75</v>
      </c>
      <c r="I6" s="4">
        <v>1.0</v>
      </c>
      <c r="J6" t="s">
        <v>90</v>
      </c>
      <c r="K6" t="s">
        <v>77</v>
      </c>
      <c r="L6" t="s">
        <v>91</v>
      </c>
    </row>
    <row r="7" spans="1:36">
      <c r="A7" s="3">
        <v>6</v>
      </c>
      <c r="B7" t="s">
        <v>72</v>
      </c>
      <c r="C7" s="3" t="s">
        <v>92</v>
      </c>
      <c r="D7" s="16">
        <v>45069.0</v>
      </c>
      <c r="E7" t="s">
        <v>74</v>
      </c>
      <c r="F7" s="3" t="s">
        <v>48</v>
      </c>
      <c r="G7" t="s">
        <v>49</v>
      </c>
      <c r="H7" s="3" t="s">
        <v>75</v>
      </c>
      <c r="I7" s="4">
        <v>1.0</v>
      </c>
      <c r="J7" t="s">
        <v>90</v>
      </c>
      <c r="K7" t="s">
        <v>77</v>
      </c>
      <c r="L7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2023-12-28T16:50:09+07:00</dcterms:created>
  <dcterms:modified xsi:type="dcterms:W3CDTF">2023-12-28T16:50:09+07:00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