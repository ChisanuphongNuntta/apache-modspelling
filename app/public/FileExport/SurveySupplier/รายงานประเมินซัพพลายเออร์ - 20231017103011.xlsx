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<sst xmlns="http://schemas.openxmlformats.org/spreadsheetml/2006/main" uniqueCount="119">
  <si>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</si>
  <si>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</si>
  <si>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</si>
  <si>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</si>
  <si>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</si>
  <si>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</si>
  <si>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</si>
  <si>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</si>
  <si>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</si>
  <si>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2023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</si>
  <si>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</si>
  <si>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</si>
  <si>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</si>
  <si>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</si>
  <si>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</si>
  <si>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17/10/2023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</si>
  <si>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</si>
  <si>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</si>
  <si>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</si>
  <si>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</si>
  <si>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</si>
  <si>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</si>
  <si>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</si>
  <si>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</si>
  <si>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</si>
  <si>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</si>
  <si>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</si>
  <si>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</si>
  <si>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</si>
  <si>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</si>
  <si>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</si>
  <si>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</si>
  <si>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</si>
  <si>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</si>
  <si>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</si>
  <si>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</si>
  <si>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</si>
  <si>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</si>
  <si>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</si>
  <si>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</si>
  <si>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</si>
  <si>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</si>
  <si>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36-114-142</t>
  </si>
  <si>
    <t>ใบเลื่อย FREUD 10"x120T (ตัดอลูมิเนียม) LU5E0400</t>
  </si>
  <si>
    <t>M</t>
  </si>
  <si>
    <t>36-114-150</t>
  </si>
  <si>
    <t>ใบเลื่อย FREUD 12"x120T(ตัดอลูมิเนียม)LU5E0600</t>
  </si>
  <si>
    <t>36-114-140</t>
  </si>
  <si>
    <t>ใบเลื่อย FREUD 10"x100T(ตัดอลูมิเนียม) LU5E0300</t>
  </si>
  <si>
    <t>36-114-104</t>
  </si>
  <si>
    <t>ใบเลื่อย FREUD 7"x40T (ตัดไม้) LP33MCR3</t>
  </si>
  <si>
    <t>36-114-114</t>
  </si>
  <si>
    <t>ใบเลื่อย FREUD 10"x48T (ตัดไม้) LA20M003</t>
  </si>
  <si>
    <t>36-114-103</t>
  </si>
  <si>
    <t>ใบเลื่อย FREUD 7"x30T (ตัดไม้) LP32MCR3</t>
  </si>
  <si>
    <t>36-114-196</t>
  </si>
  <si>
    <t>ใบเลื่อย FREUD 9"x60T(ตัดไม้) LA30M001</t>
  </si>
  <si>
    <t>36-114-107</t>
  </si>
  <si>
    <t>ใบเลื่อย FREUD 8"x40T (ตัดไม้) LP35MDR3</t>
  </si>
  <si>
    <t>36-114-009</t>
  </si>
  <si>
    <t>ใบเลื่อย FREUD 4"x20T (อเนกประสงค์) LCL5M33043</t>
  </si>
  <si>
    <t>DEAD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</si>
  <si>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</si>
  <si>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</si>
  <si>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</si>
  <si>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</si>
  <si>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D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</si>
  <si>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</si>
  <si>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</si>
  <si>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</si>
  <si>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</si>
  <si>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</si>
  <si>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</si>
  <si>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D21</t>
  </si>
  <si>
    <t>36-114-125</t>
  </si>
  <si>
    <t>ใบเลื่อย FREUD 12"x72T(ตัดไม้)LU2B1001A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</si>
  <si>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</si>
  <si>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</si>
  <si>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</si>
  <si>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</si>
  <si>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36-114-180</t>
  </si>
  <si>
    <t>ใบเลื่อย FREUD 14"x72T(ตัดไม้)LU2B1400</t>
  </si>
  <si>
    <t>36-114-182</t>
  </si>
  <si>
    <t>ใบเลื่อย FREUD 14"x72T(ตัดไม้)LSB36002</t>
  </si>
  <si>
    <t>D22</t>
  </si>
  <si>
    <t>36-114-195</t>
  </si>
  <si>
    <t>ใบเลื่อย FREUD 8"x36T (scoring)LI25M43PI3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</si>
  <si>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</si>
  <si>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</si>
  <si>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</si>
  <si>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</si>
  <si>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</si>
  <si>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</si>
  <si>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</si>
  <si>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</si>
  <si>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</si>
  <si>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</si>
  <si>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</si>
  <si>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</si>
  <si>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</si>
  <si>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</si>
  <si>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</si>
  <si>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</si>
  <si>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ฝ่ายขายออนไลน์</t>
  </si>
  <si>
    <t>RN-65022095</t>
  </si>
  <si>
    <t>W-05595 - บีบีช็อป</t>
  </si>
  <si>
    <t>WP5</t>
  </si>
  <si>
    <t>ใบ</t>
  </si>
  <si>
    <t>สินค้าชำรุดสภาพดี AX</t>
  </si>
  <si>
    <t>ชำรุดมีรอยร้าว</t>
  </si>
  <si>
    <t>ฝ่ายขายร้านค้า ตจว.</t>
  </si>
  <si>
    <t>PE-66081007</t>
  </si>
  <si>
    <t>C-10629 - บุญคู่บ้าน</t>
  </si>
  <si>
    <t>ชำรุดจากโรงงาน</t>
  </si>
  <si>
    <t>ฟันหัก</t>
  </si>
  <si>
    <t>ฝ่ายขายหน้าร้าน</t>
  </si>
  <si>
    <t>PE-66101001</t>
  </si>
  <si>
    <t>C-11964 - ราชบุรี กิมเซ่งฮวด</t>
  </si>
  <si>
    <t>ฟันหัก  ลูกค้าใช้งานตัดอลูมมิเนียมธรรมดา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</si>
</sst>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5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26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P26" sqref="AP26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8" customWidth="true" style="0"/>
  </cols>
  <sheetData>
    <row r="1" spans="1:42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</row>
    <row r="2" spans="1:42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37</v>
      </c>
      <c r="AK2" s="2" t="s">
        <v>38</v>
      </c>
      <c r="AL2" s="2" t="s">
        <v>39</v>
      </c>
      <c r="AM2" s="2" t="s">
        <v>40</v>
      </c>
      <c r="AN2" s="2" t="s">
        <v>41</v>
      </c>
      <c r="AO2" s="2" t="s">
        <v>34</v>
      </c>
      <c r="AP2" s="2" t="s">
        <v>35</v>
      </c>
    </row>
    <row r="3" spans="1:42">
      <c r="A3" s="3">
        <v>1</v>
      </c>
      <c r="B3" s="3" t="s">
        <v>42</v>
      </c>
      <c r="C3" t="s">
        <v>43</v>
      </c>
      <c r="D3" s="3" t="s">
        <v>44</v>
      </c>
      <c r="E3" s="4">
        <v>650.0</v>
      </c>
      <c r="F3" s="5">
        <v>762352.2</v>
      </c>
      <c r="G3" s="4">
        <v>500.0</v>
      </c>
      <c r="H3" s="5">
        <v>658210.26</v>
      </c>
      <c r="I3" s="4">
        <v>500.0</v>
      </c>
      <c r="J3" s="5">
        <v>677770.0</v>
      </c>
      <c r="K3" s="4">
        <v>626.909088</v>
      </c>
      <c r="L3" s="5">
        <v>849800.345148</v>
      </c>
      <c r="M3" s="6">
        <v>0.2024361911946</v>
      </c>
      <c r="N3" s="4">
        <v>435.0</v>
      </c>
      <c r="O3" s="4">
        <v>39.181818</v>
      </c>
      <c r="P3" s="4">
        <v>513.0</v>
      </c>
      <c r="Q3" s="4">
        <v>55.777777</v>
      </c>
      <c r="R3" s="4">
        <v>270.0</v>
      </c>
      <c r="S3" s="5">
        <v>365995.8</v>
      </c>
      <c r="T3" s="4">
        <v>51.666666</v>
      </c>
      <c r="U3" s="7">
        <v>5.2258065190427</v>
      </c>
      <c r="V3" s="5">
        <v>550273.93</v>
      </c>
      <c r="W3" s="5">
        <v>1264.9975402299</v>
      </c>
      <c r="X3" s="5">
        <v>851692.843</v>
      </c>
      <c r="Y3" s="5">
        <v>1957.9145816092</v>
      </c>
      <c r="Z3" s="5">
        <v>301418.913</v>
      </c>
      <c r="AA3" s="5">
        <v>692.91704137931</v>
      </c>
      <c r="AB3" s="8">
        <v>0.35390565445905</v>
      </c>
      <c r="AC3" s="4">
        <v>435.0</v>
      </c>
      <c r="AD3" s="4">
        <v>1.0</v>
      </c>
      <c r="AE3" s="4">
        <v>1.0</v>
      </c>
      <c r="AF3" s="9">
        <v>0</v>
      </c>
      <c r="AG3" s="10">
        <v>0.0022988505747126</v>
      </c>
      <c r="AH3" s="4">
        <v>2.0</v>
      </c>
      <c r="AI3" s="5">
        <v>2711.08</v>
      </c>
      <c r="AJ3" s="4">
        <v>513.0</v>
      </c>
      <c r="AK3" s="4">
        <v>2.0</v>
      </c>
      <c r="AL3" s="9">
        <v>0</v>
      </c>
      <c r="AM3" s="9">
        <v>0</v>
      </c>
      <c r="AN3" s="3">
        <v>0</v>
      </c>
      <c r="AO3" s="4">
        <v>2.0</v>
      </c>
      <c r="AP3" s="5">
        <v>2711.08</v>
      </c>
    </row>
    <row r="4" spans="1:42">
      <c r="A4" s="3">
        <v>2</v>
      </c>
      <c r="B4" s="3" t="s">
        <v>45</v>
      </c>
      <c r="C4" t="s">
        <v>46</v>
      </c>
      <c r="D4" s="3" t="s">
        <v>44</v>
      </c>
      <c r="E4" s="4">
        <v>150.0</v>
      </c>
      <c r="F4" s="5">
        <v>217410.5</v>
      </c>
      <c r="G4" s="4">
        <v>200.0</v>
      </c>
      <c r="H4" s="5">
        <v>326885.52</v>
      </c>
      <c r="I4" s="4">
        <v>400.0</v>
      </c>
      <c r="J4" s="5">
        <v>639680.0</v>
      </c>
      <c r="K4" s="4">
        <v>353.454544</v>
      </c>
      <c r="L4" s="5">
        <v>575915.299448</v>
      </c>
      <c r="M4" s="6">
        <v>0.43415637627225</v>
      </c>
      <c r="N4" s="4">
        <v>244.0</v>
      </c>
      <c r="O4" s="4">
        <v>22.090909</v>
      </c>
      <c r="P4" s="4">
        <v>301.0</v>
      </c>
      <c r="Q4" s="4">
        <v>32.666666</v>
      </c>
      <c r="R4" s="4">
        <v>222.0</v>
      </c>
      <c r="S4" s="5">
        <v>361724.58</v>
      </c>
      <c r="T4" s="4">
        <v>27.833333</v>
      </c>
      <c r="U4" s="11">
        <v>7.9760479997131</v>
      </c>
      <c r="V4" s="5">
        <v>365300.96</v>
      </c>
      <c r="W4" s="5">
        <v>1497.1350819672</v>
      </c>
      <c r="X4" s="5">
        <v>541695.194</v>
      </c>
      <c r="Y4" s="5">
        <v>2220.0622704918</v>
      </c>
      <c r="Z4" s="5">
        <v>176394.234</v>
      </c>
      <c r="AA4" s="5">
        <v>722.92718852459</v>
      </c>
      <c r="AB4" s="8">
        <v>0.32563374376181</v>
      </c>
      <c r="AC4" s="4">
        <v>244.0</v>
      </c>
      <c r="AD4" s="9">
        <v>0</v>
      </c>
      <c r="AE4" s="9">
        <v>0</v>
      </c>
      <c r="AF4" s="9">
        <v>0</v>
      </c>
      <c r="AG4" s="3">
        <v>0</v>
      </c>
      <c r="AH4" s="9">
        <v>0</v>
      </c>
      <c r="AI4" s="9">
        <v>0</v>
      </c>
      <c r="AJ4" s="4">
        <v>301.0</v>
      </c>
      <c r="AK4" s="9">
        <v>0</v>
      </c>
      <c r="AL4" s="9">
        <v>0</v>
      </c>
      <c r="AM4" s="9">
        <v>0</v>
      </c>
      <c r="AN4" s="3">
        <v>0</v>
      </c>
      <c r="AO4" s="9">
        <v>0</v>
      </c>
      <c r="AP4" s="9">
        <v>0</v>
      </c>
    </row>
    <row r="5" spans="1:42">
      <c r="A5" s="3">
        <v>3</v>
      </c>
      <c r="B5" s="3" t="s">
        <v>47</v>
      </c>
      <c r="C5" t="s">
        <v>48</v>
      </c>
      <c r="D5" s="3" t="s">
        <v>44</v>
      </c>
      <c r="E5" s="4">
        <v>400.0</v>
      </c>
      <c r="F5" s="5">
        <v>498858.85</v>
      </c>
      <c r="G5" s="4">
        <v>102.0</v>
      </c>
      <c r="H5" s="5">
        <v>140766.018</v>
      </c>
      <c r="I5" s="4">
        <v>380.0</v>
      </c>
      <c r="J5" s="5">
        <v>492846.6</v>
      </c>
      <c r="K5" s="4">
        <v>273.454544</v>
      </c>
      <c r="L5" s="5">
        <v>355701.467199</v>
      </c>
      <c r="M5" s="6">
        <v>0.62699467886699</v>
      </c>
      <c r="N5" s="4">
        <v>190.0</v>
      </c>
      <c r="O5" s="4">
        <v>17.090909</v>
      </c>
      <c r="P5" s="4">
        <v>188.0</v>
      </c>
      <c r="Q5" s="4">
        <v>20.777777</v>
      </c>
      <c r="R5" s="4">
        <v>337.0</v>
      </c>
      <c r="S5" s="5">
        <v>438359.49</v>
      </c>
      <c r="T5" s="4">
        <v>17.166666</v>
      </c>
      <c r="U5" s="11">
        <v>19.631068723537</v>
      </c>
      <c r="V5" s="5">
        <v>240165.44</v>
      </c>
      <c r="W5" s="5">
        <v>1264.0286315789</v>
      </c>
      <c r="X5" s="5">
        <v>367438.028</v>
      </c>
      <c r="Y5" s="5">
        <v>1933.8843578947</v>
      </c>
      <c r="Z5" s="5">
        <v>127272.588</v>
      </c>
      <c r="AA5" s="5">
        <v>669.85572631579</v>
      </c>
      <c r="AB5" s="8">
        <v>0.34637837758045</v>
      </c>
      <c r="AC5" s="4">
        <v>190.0</v>
      </c>
      <c r="AD5" s="9">
        <v>0</v>
      </c>
      <c r="AE5" s="9">
        <v>0</v>
      </c>
      <c r="AF5" s="9">
        <v>0</v>
      </c>
      <c r="AG5" s="3">
        <v>0</v>
      </c>
      <c r="AH5" s="9">
        <v>0</v>
      </c>
      <c r="AI5" s="9">
        <v>0</v>
      </c>
      <c r="AJ5" s="4">
        <v>188.0</v>
      </c>
      <c r="AK5" s="9">
        <v>0</v>
      </c>
      <c r="AL5" s="9">
        <v>0</v>
      </c>
      <c r="AM5" s="9">
        <v>0</v>
      </c>
      <c r="AN5" s="3">
        <v>0</v>
      </c>
      <c r="AO5" s="9">
        <v>0</v>
      </c>
      <c r="AP5" s="9">
        <v>0</v>
      </c>
    </row>
    <row r="6" spans="1:42">
      <c r="A6" s="3">
        <v>4</v>
      </c>
      <c r="B6" s="3" t="s">
        <v>49</v>
      </c>
      <c r="C6" t="s">
        <v>50</v>
      </c>
      <c r="D6" s="3" t="s">
        <v>44</v>
      </c>
      <c r="E6" s="4">
        <v>399.0</v>
      </c>
      <c r="F6" s="5">
        <v>150665.58</v>
      </c>
      <c r="G6" s="4">
        <v>300.0</v>
      </c>
      <c r="H6" s="5">
        <v>124642.0</v>
      </c>
      <c r="I6" s="4">
        <v>650.0</v>
      </c>
      <c r="J6" s="5">
        <v>214068.0</v>
      </c>
      <c r="K6" s="4">
        <v>443.636352</v>
      </c>
      <c r="L6" s="5">
        <v>149953.52334</v>
      </c>
      <c r="M6" s="6">
        <v>0.32377047406611</v>
      </c>
      <c r="N6" s="4">
        <v>305.0</v>
      </c>
      <c r="O6" s="4">
        <v>27.727272</v>
      </c>
      <c r="P6" s="4">
        <v>470.0</v>
      </c>
      <c r="Q6" s="4">
        <v>51.222222</v>
      </c>
      <c r="R6" s="4">
        <v>181.0</v>
      </c>
      <c r="S6" s="5">
        <v>61179.81</v>
      </c>
      <c r="T6" s="4">
        <v>44.416666</v>
      </c>
      <c r="U6" s="7">
        <v>4.0750469654791</v>
      </c>
      <c r="V6" s="5">
        <v>129606.9</v>
      </c>
      <c r="W6" s="5">
        <v>424.9406557377</v>
      </c>
      <c r="X6" s="5">
        <v>206851.456</v>
      </c>
      <c r="Y6" s="5">
        <v>678.20149508197</v>
      </c>
      <c r="Z6" s="5">
        <v>77244.556</v>
      </c>
      <c r="AA6" s="5">
        <v>253.26083934426</v>
      </c>
      <c r="AB6" s="8">
        <v>0.37343008114963</v>
      </c>
      <c r="AC6" s="4">
        <v>305.0</v>
      </c>
      <c r="AD6" s="9">
        <v>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4">
        <v>470.0</v>
      </c>
      <c r="AK6" s="9">
        <v>0</v>
      </c>
      <c r="AL6" s="9">
        <v>0</v>
      </c>
      <c r="AM6" s="9">
        <v>0</v>
      </c>
      <c r="AN6" s="3">
        <v>0</v>
      </c>
      <c r="AO6" s="9">
        <v>0</v>
      </c>
      <c r="AP6" s="9">
        <v>0</v>
      </c>
    </row>
    <row r="7" spans="1:42">
      <c r="A7" s="3">
        <v>5</v>
      </c>
      <c r="B7" s="3" t="s">
        <v>51</v>
      </c>
      <c r="C7" t="s">
        <v>52</v>
      </c>
      <c r="D7" s="3" t="s">
        <v>44</v>
      </c>
      <c r="E7" s="4">
        <v>500.0</v>
      </c>
      <c r="F7" s="5">
        <v>290180.0</v>
      </c>
      <c r="G7" s="4">
        <v>99.0</v>
      </c>
      <c r="H7" s="5">
        <v>61276.71</v>
      </c>
      <c r="I7" s="4">
        <v>401.0</v>
      </c>
      <c r="J7" s="5">
        <v>246878.834</v>
      </c>
      <c r="K7" s="4">
        <v>596.363632</v>
      </c>
      <c r="L7" s="5">
        <v>372351.560912</v>
      </c>
      <c r="M7" s="6">
        <v>0.83399390122435</v>
      </c>
      <c r="N7" s="4">
        <v>415.0</v>
      </c>
      <c r="O7" s="4">
        <v>37.272727</v>
      </c>
      <c r="P7" s="4">
        <v>284.0</v>
      </c>
      <c r="Q7" s="4">
        <v>30.333333</v>
      </c>
      <c r="R7" s="4">
        <v>130.0</v>
      </c>
      <c r="S7" s="5">
        <v>81168.1</v>
      </c>
      <c r="T7" s="4">
        <v>29.25</v>
      </c>
      <c r="U7" s="7">
        <v>4.4444444444444</v>
      </c>
      <c r="V7" s="5">
        <v>245344.521</v>
      </c>
      <c r="W7" s="5">
        <v>591.19161686747</v>
      </c>
      <c r="X7" s="5">
        <v>365427.027</v>
      </c>
      <c r="Y7" s="5">
        <v>880.54705301205</v>
      </c>
      <c r="Z7" s="5">
        <v>120082.506</v>
      </c>
      <c r="AA7" s="5">
        <v>289.35543614458</v>
      </c>
      <c r="AB7" s="8">
        <v>0.32860871563285</v>
      </c>
      <c r="AC7" s="4">
        <v>415.0</v>
      </c>
      <c r="AD7" s="9">
        <v>0</v>
      </c>
      <c r="AE7" s="9">
        <v>0</v>
      </c>
      <c r="AF7" s="9">
        <v>0</v>
      </c>
      <c r="AG7" s="3">
        <v>0</v>
      </c>
      <c r="AH7" s="9">
        <v>0</v>
      </c>
      <c r="AI7" s="9">
        <v>0</v>
      </c>
      <c r="AJ7" s="4">
        <v>284.0</v>
      </c>
      <c r="AK7" s="9">
        <v>0</v>
      </c>
      <c r="AL7" s="9">
        <v>0</v>
      </c>
      <c r="AM7" s="9">
        <v>0</v>
      </c>
      <c r="AN7" s="3">
        <v>0</v>
      </c>
      <c r="AO7" s="9">
        <v>0</v>
      </c>
      <c r="AP7" s="9">
        <v>0</v>
      </c>
    </row>
    <row r="8" spans="1:42">
      <c r="A8" s="3">
        <v>6</v>
      </c>
      <c r="B8" s="3" t="s">
        <v>53</v>
      </c>
      <c r="C8" t="s">
        <v>54</v>
      </c>
      <c r="D8" s="3" t="s">
        <v>44</v>
      </c>
      <c r="E8" s="9">
        <v>0</v>
      </c>
      <c r="F8" s="9">
        <v>0</v>
      </c>
      <c r="G8" s="4">
        <v>100.0</v>
      </c>
      <c r="H8" s="5">
        <v>36578.0</v>
      </c>
      <c r="I8" s="4">
        <v>300.0</v>
      </c>
      <c r="J8" s="5">
        <v>89969.0</v>
      </c>
      <c r="K8" s="4">
        <v>141.090896</v>
      </c>
      <c r="L8" s="5">
        <v>43384.039611</v>
      </c>
      <c r="M8" s="6">
        <v>0.29123704764055</v>
      </c>
      <c r="N8" s="4">
        <v>97.0</v>
      </c>
      <c r="O8" s="4">
        <v>8.818181</v>
      </c>
      <c r="P8" s="4">
        <v>165.0</v>
      </c>
      <c r="Q8" s="4">
        <v>20.888888</v>
      </c>
      <c r="R8" s="4">
        <v>180.0</v>
      </c>
      <c r="S8" s="5">
        <v>55348.2</v>
      </c>
      <c r="T8" s="4">
        <v>14.916666</v>
      </c>
      <c r="U8" s="11">
        <v>12.067039645454</v>
      </c>
      <c r="V8" s="5">
        <v>33678.31</v>
      </c>
      <c r="W8" s="5">
        <v>347.19907216495</v>
      </c>
      <c r="X8" s="5">
        <v>59129.923</v>
      </c>
      <c r="Y8" s="5">
        <v>609.58683505155</v>
      </c>
      <c r="Z8" s="5">
        <v>25451.613</v>
      </c>
      <c r="AA8" s="5">
        <v>262.3877628866</v>
      </c>
      <c r="AB8" s="8">
        <v>0.430435415923</v>
      </c>
      <c r="AC8" s="4">
        <v>97.0</v>
      </c>
      <c r="AD8" s="9">
        <v>0</v>
      </c>
      <c r="AE8" s="9">
        <v>0</v>
      </c>
      <c r="AF8" s="9">
        <v>0</v>
      </c>
      <c r="AG8" s="3">
        <v>0</v>
      </c>
      <c r="AH8" s="9">
        <v>0</v>
      </c>
      <c r="AI8" s="9">
        <v>0</v>
      </c>
      <c r="AJ8" s="4">
        <v>165.0</v>
      </c>
      <c r="AK8" s="9">
        <v>0</v>
      </c>
      <c r="AL8" s="9">
        <v>0</v>
      </c>
      <c r="AM8" s="9">
        <v>0</v>
      </c>
      <c r="AN8" s="3">
        <v>0</v>
      </c>
      <c r="AO8" s="9">
        <v>0</v>
      </c>
      <c r="AP8" s="9">
        <v>0</v>
      </c>
    </row>
    <row r="9" spans="1:42">
      <c r="A9" s="3">
        <v>7</v>
      </c>
      <c r="B9" s="3" t="s">
        <v>55</v>
      </c>
      <c r="C9" t="s">
        <v>56</v>
      </c>
      <c r="D9" s="3" t="s">
        <v>44</v>
      </c>
      <c r="E9" s="4">
        <v>100.0</v>
      </c>
      <c r="F9" s="5">
        <v>67639.1</v>
      </c>
      <c r="G9" s="4">
        <v>30.0</v>
      </c>
      <c r="H9" s="5">
        <v>20076.06</v>
      </c>
      <c r="I9" s="4">
        <v>150.0</v>
      </c>
      <c r="J9" s="5">
        <v>101871.0</v>
      </c>
      <c r="K9" s="4">
        <v>58.181808</v>
      </c>
      <c r="L9" s="5">
        <v>39513.593085</v>
      </c>
      <c r="M9" s="6">
        <v>0.48437490976561</v>
      </c>
      <c r="N9" s="4">
        <v>40.0</v>
      </c>
      <c r="O9" s="4">
        <v>3.636363</v>
      </c>
      <c r="P9" s="4">
        <v>121.0</v>
      </c>
      <c r="Q9" s="4">
        <v>13.444444</v>
      </c>
      <c r="R9" s="4">
        <v>66.0</v>
      </c>
      <c r="S9" s="5">
        <v>44823.24</v>
      </c>
      <c r="T9" s="4">
        <v>11.75</v>
      </c>
      <c r="U9" s="7">
        <v>5.6170212765957</v>
      </c>
      <c r="V9" s="5">
        <v>27088.475</v>
      </c>
      <c r="W9" s="5">
        <v>677.211875</v>
      </c>
      <c r="X9" s="5">
        <v>48350.435</v>
      </c>
      <c r="Y9" s="5">
        <v>1208.760875</v>
      </c>
      <c r="Z9" s="5">
        <v>21261.96</v>
      </c>
      <c r="AA9" s="5">
        <v>531.549</v>
      </c>
      <c r="AB9" s="8">
        <v>0.43974702606088</v>
      </c>
      <c r="AC9" s="4">
        <v>40.0</v>
      </c>
      <c r="AD9" s="9">
        <v>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4">
        <v>121.0</v>
      </c>
      <c r="AK9" s="9">
        <v>0</v>
      </c>
      <c r="AL9" s="9">
        <v>0</v>
      </c>
      <c r="AM9" s="9">
        <v>0</v>
      </c>
      <c r="AN9" s="3">
        <v>0</v>
      </c>
      <c r="AO9" s="9">
        <v>0</v>
      </c>
      <c r="AP9" s="9">
        <v>0</v>
      </c>
    </row>
    <row r="10" spans="1:42">
      <c r="A10" s="3">
        <v>8</v>
      </c>
      <c r="B10" s="3" t="s">
        <v>57</v>
      </c>
      <c r="C10" t="s">
        <v>58</v>
      </c>
      <c r="D10" s="3" t="s">
        <v>44</v>
      </c>
      <c r="E10" s="4">
        <v>100.0</v>
      </c>
      <c r="F10" s="5">
        <v>45135.5</v>
      </c>
      <c r="G10" s="4">
        <v>30.0</v>
      </c>
      <c r="H10" s="5">
        <v>13401.9</v>
      </c>
      <c r="I10" s="4">
        <v>150.0</v>
      </c>
      <c r="J10" s="5">
        <v>55638.0</v>
      </c>
      <c r="K10" s="4">
        <v>96.0</v>
      </c>
      <c r="L10" s="5">
        <v>36053.76</v>
      </c>
      <c r="M10" s="6">
        <v>0.6875</v>
      </c>
      <c r="N10" s="4">
        <v>66.0</v>
      </c>
      <c r="O10" s="4">
        <v>6.0</v>
      </c>
      <c r="P10" s="4">
        <v>104.0</v>
      </c>
      <c r="Q10" s="4">
        <v>11.555555</v>
      </c>
      <c r="R10" s="4">
        <v>50.0</v>
      </c>
      <c r="S10" s="5">
        <v>18778.0</v>
      </c>
      <c r="T10" s="4">
        <v>9.333333</v>
      </c>
      <c r="U10" s="7">
        <v>5.3571430484694</v>
      </c>
      <c r="V10" s="5">
        <v>29701.32</v>
      </c>
      <c r="W10" s="5">
        <v>450.02</v>
      </c>
      <c r="X10" s="5">
        <v>53913.964</v>
      </c>
      <c r="Y10" s="5">
        <v>816.87824242424</v>
      </c>
      <c r="Z10" s="5">
        <v>24212.644</v>
      </c>
      <c r="AA10" s="5">
        <v>366.85824242424</v>
      </c>
      <c r="AB10" s="8">
        <v>0.44909782556519</v>
      </c>
      <c r="AC10" s="4">
        <v>66.0</v>
      </c>
      <c r="AD10" s="9">
        <v>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4">
        <v>104.0</v>
      </c>
      <c r="AK10" s="9">
        <v>0</v>
      </c>
      <c r="AL10" s="9">
        <v>0</v>
      </c>
      <c r="AM10" s="9">
        <v>0</v>
      </c>
      <c r="AN10" s="3">
        <v>0</v>
      </c>
      <c r="AO10" s="9">
        <v>0</v>
      </c>
      <c r="AP10" s="9">
        <v>0</v>
      </c>
    </row>
    <row r="11" spans="1:42">
      <c r="A11" s="3">
        <v>9</v>
      </c>
      <c r="B11" s="3" t="s">
        <v>59</v>
      </c>
      <c r="C11" t="s">
        <v>60</v>
      </c>
      <c r="D11" s="3" t="s">
        <v>44</v>
      </c>
      <c r="E11" s="4">
        <v>172.0</v>
      </c>
      <c r="F11" s="5">
        <v>41144.12</v>
      </c>
      <c r="G11" s="4">
        <v>20.0</v>
      </c>
      <c r="H11" s="5">
        <v>5576.08</v>
      </c>
      <c r="I11" s="9">
        <v>0</v>
      </c>
      <c r="J11" s="9">
        <v>0</v>
      </c>
      <c r="K11" s="4">
        <v>260.363632</v>
      </c>
      <c r="L11" s="5">
        <v>74151.562394</v>
      </c>
      <c r="M11" s="6">
        <v>0.92318435625449</v>
      </c>
      <c r="N11" s="4">
        <v>179.0</v>
      </c>
      <c r="O11" s="4">
        <v>16.272727</v>
      </c>
      <c r="P11" s="4">
        <v>17.0</v>
      </c>
      <c r="Q11" s="4">
        <v>1.888888</v>
      </c>
      <c r="R11" s="9">
        <v>0</v>
      </c>
      <c r="S11" s="9">
        <v>0</v>
      </c>
      <c r="T11" s="4">
        <v>1.5</v>
      </c>
      <c r="U11" s="12" t="s">
        <v>61</v>
      </c>
      <c r="V11" s="5">
        <v>42979.09</v>
      </c>
      <c r="W11" s="5">
        <v>240.10664804469</v>
      </c>
      <c r="X11" s="5">
        <v>58011.019</v>
      </c>
      <c r="Y11" s="5">
        <v>324.08390502793</v>
      </c>
      <c r="Z11" s="5">
        <v>15031.929</v>
      </c>
      <c r="AA11" s="5">
        <v>83.97725698324</v>
      </c>
      <c r="AB11" s="8">
        <v>0.25912196095021</v>
      </c>
      <c r="AC11" s="4">
        <v>179.0</v>
      </c>
      <c r="AD11" s="9">
        <v>0</v>
      </c>
      <c r="AE11" s="9">
        <v>0</v>
      </c>
      <c r="AF11" s="9">
        <v>0</v>
      </c>
      <c r="AG11" s="3">
        <v>0</v>
      </c>
      <c r="AH11" s="9">
        <v>0</v>
      </c>
      <c r="AI11" s="9">
        <v>0</v>
      </c>
      <c r="AJ11" s="4">
        <v>17.0</v>
      </c>
      <c r="AK11" s="9">
        <v>0</v>
      </c>
      <c r="AL11" s="9">
        <v>0</v>
      </c>
      <c r="AM11" s="9">
        <v>0</v>
      </c>
      <c r="AN11" s="3">
        <v>0</v>
      </c>
      <c r="AO11" s="9">
        <v>0</v>
      </c>
      <c r="AP11" s="9">
        <v>0</v>
      </c>
    </row>
    <row r="12" spans="1:42">
      <c r="A12" s="3">
        <v>10</v>
      </c>
      <c r="B12" s="3" t="s">
        <v>62</v>
      </c>
      <c r="C12" t="s">
        <v>63</v>
      </c>
      <c r="D12" s="3" t="s">
        <v>44</v>
      </c>
      <c r="E12" s="4">
        <v>50.0</v>
      </c>
      <c r="F12" s="5">
        <v>46427.0</v>
      </c>
      <c r="G12" s="9">
        <v>0</v>
      </c>
      <c r="H12" s="9">
        <v>0</v>
      </c>
      <c r="I12" s="4">
        <v>129.0</v>
      </c>
      <c r="J12" s="5">
        <v>116659.32</v>
      </c>
      <c r="K12" s="4">
        <v>72.727264</v>
      </c>
      <c r="L12" s="5">
        <v>67714.900965</v>
      </c>
      <c r="M12" s="6">
        <v>1.0</v>
      </c>
      <c r="N12" s="4">
        <v>50.0</v>
      </c>
      <c r="O12" s="4">
        <v>4.545454</v>
      </c>
      <c r="P12" s="4">
        <v>66.0</v>
      </c>
      <c r="Q12" s="4">
        <v>7.333333</v>
      </c>
      <c r="R12" s="4">
        <v>64.0</v>
      </c>
      <c r="S12" s="5">
        <v>59589.12</v>
      </c>
      <c r="T12" s="4">
        <v>5.5</v>
      </c>
      <c r="U12" s="11">
        <v>11.636363636364</v>
      </c>
      <c r="V12" s="5">
        <v>49112.84</v>
      </c>
      <c r="W12" s="5">
        <v>982.2568</v>
      </c>
      <c r="X12" s="5">
        <v>65951.227</v>
      </c>
      <c r="Y12" s="5">
        <v>1319.02454</v>
      </c>
      <c r="Z12" s="5">
        <v>16838.387</v>
      </c>
      <c r="AA12" s="5">
        <v>336.76774</v>
      </c>
      <c r="AB12" s="8">
        <v>0.25531575022857</v>
      </c>
      <c r="AC12" s="4">
        <v>50.0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4">
        <v>66.0</v>
      </c>
      <c r="AK12" s="9">
        <v>0</v>
      </c>
      <c r="AL12" s="9">
        <v>0</v>
      </c>
      <c r="AM12" s="9">
        <v>0</v>
      </c>
      <c r="AN12" s="3">
        <v>0</v>
      </c>
      <c r="AO12" s="9">
        <v>0</v>
      </c>
      <c r="AP12" s="9">
        <v>0</v>
      </c>
    </row>
    <row r="13" spans="1:42">
      <c r="A13" s="3">
        <v>11</v>
      </c>
      <c r="B13" s="3" t="s">
        <v>64</v>
      </c>
      <c r="C13" t="s">
        <v>65</v>
      </c>
      <c r="D13" s="3" t="s">
        <v>66</v>
      </c>
      <c r="E13" s="4">
        <v>50.0</v>
      </c>
      <c r="F13" s="5">
        <v>57692.5</v>
      </c>
      <c r="G13" s="9">
        <v>0</v>
      </c>
      <c r="H13" s="9">
        <v>0</v>
      </c>
      <c r="I13" s="9">
        <v>0</v>
      </c>
      <c r="J13" s="9">
        <v>0</v>
      </c>
      <c r="K13" s="4">
        <v>33.454544</v>
      </c>
      <c r="L13" s="5">
        <v>38601.525594</v>
      </c>
      <c r="M13" s="6">
        <v>1.0</v>
      </c>
      <c r="N13" s="4">
        <v>23.0</v>
      </c>
      <c r="O13" s="4">
        <v>2.090909</v>
      </c>
      <c r="P13" s="4">
        <v>16.0</v>
      </c>
      <c r="Q13" s="4">
        <v>1.777777</v>
      </c>
      <c r="R13" s="4">
        <v>31.0</v>
      </c>
      <c r="S13" s="5">
        <v>35769.35</v>
      </c>
      <c r="T13" s="4">
        <v>1.583333</v>
      </c>
      <c r="U13" s="11">
        <v>19.578951490306</v>
      </c>
      <c r="V13" s="5">
        <v>24722.89</v>
      </c>
      <c r="W13" s="5">
        <v>1074.9082608696</v>
      </c>
      <c r="X13" s="5">
        <v>35949.346</v>
      </c>
      <c r="Y13" s="5">
        <v>1563.0150434783</v>
      </c>
      <c r="Z13" s="5">
        <v>11226.456</v>
      </c>
      <c r="AA13" s="5">
        <v>488.1067826087</v>
      </c>
      <c r="AB13" s="8">
        <v>0.31228540291108</v>
      </c>
      <c r="AC13" s="4">
        <v>23.0</v>
      </c>
      <c r="AD13" s="9">
        <v>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4">
        <v>16.0</v>
      </c>
      <c r="AK13" s="9">
        <v>0</v>
      </c>
      <c r="AL13" s="9">
        <v>0</v>
      </c>
      <c r="AM13" s="9">
        <v>0</v>
      </c>
      <c r="AN13" s="3">
        <v>0</v>
      </c>
      <c r="AO13" s="9">
        <v>0</v>
      </c>
      <c r="AP13" s="9">
        <v>0</v>
      </c>
    </row>
    <row r="14" spans="1:42">
      <c r="A14" s="3">
        <v>12</v>
      </c>
      <c r="B14" s="3" t="s">
        <v>67</v>
      </c>
      <c r="C14" t="s">
        <v>68</v>
      </c>
      <c r="D14" s="3" t="s">
        <v>66</v>
      </c>
      <c r="E14" s="4">
        <v>100.0</v>
      </c>
      <c r="F14" s="5">
        <v>65880.95</v>
      </c>
      <c r="G14" s="9">
        <v>0</v>
      </c>
      <c r="H14" s="9">
        <v>0</v>
      </c>
      <c r="I14" s="9">
        <v>0</v>
      </c>
      <c r="J14" s="9">
        <v>0</v>
      </c>
      <c r="K14" s="4">
        <v>26.181808</v>
      </c>
      <c r="L14" s="5">
        <v>19437.636077</v>
      </c>
      <c r="M14" s="6">
        <v>1.0</v>
      </c>
      <c r="N14" s="4">
        <v>18.0</v>
      </c>
      <c r="O14" s="4">
        <v>1.636363</v>
      </c>
      <c r="P14" s="4">
        <v>39.0</v>
      </c>
      <c r="Q14" s="4">
        <v>4.333333</v>
      </c>
      <c r="R14" s="4">
        <v>3.0</v>
      </c>
      <c r="S14" s="5">
        <v>2227.23</v>
      </c>
      <c r="T14" s="4">
        <v>3.5</v>
      </c>
      <c r="U14" s="13">
        <v>0.85714285714286</v>
      </c>
      <c r="V14" s="5">
        <v>11733.12</v>
      </c>
      <c r="W14" s="5">
        <v>651.84</v>
      </c>
      <c r="X14" s="5">
        <v>24025.227</v>
      </c>
      <c r="Y14" s="5">
        <v>1334.7348333333</v>
      </c>
      <c r="Z14" s="5">
        <v>12292.107</v>
      </c>
      <c r="AA14" s="5">
        <v>682.89483333333</v>
      </c>
      <c r="AB14" s="8">
        <v>0.51163333441137</v>
      </c>
      <c r="AC14" s="4">
        <v>18.0</v>
      </c>
      <c r="AD14" s="9">
        <v>0</v>
      </c>
      <c r="AE14" s="9">
        <v>0</v>
      </c>
      <c r="AF14" s="9">
        <v>0</v>
      </c>
      <c r="AG14" s="3">
        <v>0</v>
      </c>
      <c r="AH14" s="9">
        <v>0</v>
      </c>
      <c r="AI14" s="9">
        <v>0</v>
      </c>
      <c r="AJ14" s="4">
        <v>39.0</v>
      </c>
      <c r="AK14" s="9">
        <v>0</v>
      </c>
      <c r="AL14" s="9">
        <v>0</v>
      </c>
      <c r="AM14" s="9">
        <v>0</v>
      </c>
      <c r="AN14" s="3">
        <v>0</v>
      </c>
      <c r="AO14" s="9">
        <v>0</v>
      </c>
      <c r="AP14" s="9">
        <v>0</v>
      </c>
    </row>
    <row r="15" spans="1:42">
      <c r="A15" s="3">
        <v>13</v>
      </c>
      <c r="B15" s="3" t="s">
        <v>69</v>
      </c>
      <c r="C15" t="s">
        <v>70</v>
      </c>
      <c r="D15" s="3" t="s">
        <v>44</v>
      </c>
      <c r="E15" s="4">
        <v>121.0</v>
      </c>
      <c r="F15" s="5">
        <v>127480.66</v>
      </c>
      <c r="G15" s="9">
        <v>0</v>
      </c>
      <c r="H15" s="9">
        <v>0</v>
      </c>
      <c r="I15" s="9">
        <v>0</v>
      </c>
      <c r="J15" s="9">
        <v>0</v>
      </c>
      <c r="K15" s="4">
        <v>27.636352</v>
      </c>
      <c r="L15" s="5">
        <v>29128.715008</v>
      </c>
      <c r="M15" s="6">
        <v>1.0</v>
      </c>
      <c r="N15" s="4">
        <v>19.0</v>
      </c>
      <c r="O15" s="4">
        <v>1.727272</v>
      </c>
      <c r="P15" s="4">
        <v>81.0</v>
      </c>
      <c r="Q15" s="4">
        <v>9.0</v>
      </c>
      <c r="R15" s="4">
        <v>10.0</v>
      </c>
      <c r="S15" s="5">
        <v>10540.0</v>
      </c>
      <c r="T15" s="4">
        <v>6.916666</v>
      </c>
      <c r="U15" s="13">
        <v>1.4457832718827</v>
      </c>
      <c r="V15" s="5">
        <v>19995.519</v>
      </c>
      <c r="W15" s="5">
        <v>1052.3957368421</v>
      </c>
      <c r="X15" s="5">
        <v>31995.309</v>
      </c>
      <c r="Y15" s="5">
        <v>1683.9636315789</v>
      </c>
      <c r="Z15" s="5">
        <v>11999.79</v>
      </c>
      <c r="AA15" s="5">
        <v>631.56789473684</v>
      </c>
      <c r="AB15" s="8">
        <v>0.37504841725392</v>
      </c>
      <c r="AC15" s="4">
        <v>19.0</v>
      </c>
      <c r="AD15" s="9">
        <v>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4">
        <v>81.0</v>
      </c>
      <c r="AK15" s="9">
        <v>0</v>
      </c>
      <c r="AL15" s="9">
        <v>0</v>
      </c>
      <c r="AM15" s="9">
        <v>0</v>
      </c>
      <c r="AN15" s="3">
        <v>0</v>
      </c>
      <c r="AO15" s="9">
        <v>0</v>
      </c>
      <c r="AP15" s="9">
        <v>0</v>
      </c>
    </row>
    <row r="16" spans="1:42">
      <c r="A16" s="3">
        <v>14</v>
      </c>
      <c r="B16" s="3" t="s">
        <v>71</v>
      </c>
      <c r="C16" t="s">
        <v>72</v>
      </c>
      <c r="D16" s="3" t="s">
        <v>73</v>
      </c>
      <c r="E16" s="4">
        <v>100.0</v>
      </c>
      <c r="F16" s="5">
        <v>128213.36</v>
      </c>
      <c r="G16" s="9">
        <v>0</v>
      </c>
      <c r="H16" s="9">
        <v>0</v>
      </c>
      <c r="I16" s="9">
        <v>0</v>
      </c>
      <c r="J16" s="9">
        <v>0</v>
      </c>
      <c r="K16" s="4">
        <v>50.909088</v>
      </c>
      <c r="L16" s="5">
        <v>71814.904987</v>
      </c>
      <c r="M16" s="6">
        <v>1.0</v>
      </c>
      <c r="N16" s="4">
        <v>27.0</v>
      </c>
      <c r="O16" s="4">
        <v>3.181818</v>
      </c>
      <c r="P16" s="4">
        <v>21.0</v>
      </c>
      <c r="Q16" s="4">
        <v>2.333333</v>
      </c>
      <c r="R16" s="4">
        <v>107.0</v>
      </c>
      <c r="S16" s="5">
        <v>150939.55</v>
      </c>
      <c r="T16" s="4">
        <v>2.166666</v>
      </c>
      <c r="U16" s="11">
        <v>49.384630579886</v>
      </c>
      <c r="V16" s="5">
        <v>32634.62</v>
      </c>
      <c r="W16" s="5">
        <v>1208.6896296296</v>
      </c>
      <c r="X16" s="5">
        <v>55576.637</v>
      </c>
      <c r="Y16" s="5">
        <v>2058.393962963</v>
      </c>
      <c r="Z16" s="5">
        <v>22942.017</v>
      </c>
      <c r="AA16" s="5">
        <v>849.70433333333</v>
      </c>
      <c r="AB16" s="8">
        <v>0.41279966256325</v>
      </c>
      <c r="AC16" s="4">
        <v>27.0</v>
      </c>
      <c r="AD16" s="9">
        <v>0</v>
      </c>
      <c r="AE16" s="9">
        <v>0</v>
      </c>
      <c r="AF16" s="9">
        <v>0</v>
      </c>
      <c r="AG16" s="3">
        <v>0</v>
      </c>
      <c r="AH16" s="9">
        <v>0</v>
      </c>
      <c r="AI16" s="9">
        <v>0</v>
      </c>
      <c r="AJ16" s="4">
        <v>21.0</v>
      </c>
      <c r="AK16" s="9">
        <v>0</v>
      </c>
      <c r="AL16" s="9">
        <v>0</v>
      </c>
      <c r="AM16" s="9">
        <v>0</v>
      </c>
      <c r="AN16" s="3">
        <v>0</v>
      </c>
      <c r="AO16" s="9">
        <v>0</v>
      </c>
      <c r="AP16" s="9">
        <v>0</v>
      </c>
    </row>
    <row r="17" spans="1:42">
      <c r="A17" s="3">
        <v>15</v>
      </c>
      <c r="B17" s="3" t="s">
        <v>74</v>
      </c>
      <c r="C17" t="s">
        <v>75</v>
      </c>
      <c r="D17" s="3" t="s">
        <v>44</v>
      </c>
      <c r="E17" s="4">
        <v>100.0</v>
      </c>
      <c r="F17" s="5">
        <v>108168.0</v>
      </c>
      <c r="G17" s="9">
        <v>0</v>
      </c>
      <c r="H17" s="9">
        <v>0</v>
      </c>
      <c r="I17" s="9">
        <v>0</v>
      </c>
      <c r="J17" s="9">
        <v>0</v>
      </c>
      <c r="K17" s="4">
        <v>66.909088</v>
      </c>
      <c r="L17" s="5">
        <v>72374.222308</v>
      </c>
      <c r="M17" s="6">
        <v>1.0</v>
      </c>
      <c r="N17" s="4">
        <v>46.0</v>
      </c>
      <c r="O17" s="4">
        <v>4.181818</v>
      </c>
      <c r="P17" s="4">
        <v>29.0</v>
      </c>
      <c r="Q17" s="4">
        <v>3.222222</v>
      </c>
      <c r="R17" s="9">
        <v>0</v>
      </c>
      <c r="S17" s="9">
        <v>0</v>
      </c>
      <c r="T17" s="4">
        <v>3.833333</v>
      </c>
      <c r="U17" s="12" t="s">
        <v>61</v>
      </c>
      <c r="V17" s="5">
        <v>49757.28</v>
      </c>
      <c r="W17" s="5">
        <v>1081.68</v>
      </c>
      <c r="X17" s="5">
        <v>70477.549</v>
      </c>
      <c r="Y17" s="5">
        <v>1532.1206304348</v>
      </c>
      <c r="Z17" s="5">
        <v>20720.269</v>
      </c>
      <c r="AA17" s="5">
        <v>450.44063043478</v>
      </c>
      <c r="AB17" s="8">
        <v>0.29399814968026</v>
      </c>
      <c r="AC17" s="4">
        <v>46.0</v>
      </c>
      <c r="AD17" s="9">
        <v>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4">
        <v>29.0</v>
      </c>
      <c r="AK17" s="9">
        <v>0</v>
      </c>
      <c r="AL17" s="9">
        <v>0</v>
      </c>
      <c r="AM17" s="9">
        <v>0</v>
      </c>
      <c r="AN17" s="3">
        <v>0</v>
      </c>
      <c r="AO17" s="9">
        <v>0</v>
      </c>
      <c r="AP17" s="9">
        <v>0</v>
      </c>
    </row>
    <row r="18" spans="1:42">
      <c r="A18" s="3">
        <v>16</v>
      </c>
      <c r="B18" s="3" t="s">
        <v>76</v>
      </c>
      <c r="C18" t="s">
        <v>77</v>
      </c>
      <c r="D18" s="3" t="s">
        <v>66</v>
      </c>
      <c r="E18" s="4">
        <v>100.0</v>
      </c>
      <c r="F18" s="5">
        <v>89035.2</v>
      </c>
      <c r="G18" s="9">
        <v>0</v>
      </c>
      <c r="H18" s="9">
        <v>0</v>
      </c>
      <c r="I18" s="4">
        <v>50.0</v>
      </c>
      <c r="J18" s="5">
        <v>44852.0</v>
      </c>
      <c r="K18" s="4">
        <v>58.181808</v>
      </c>
      <c r="L18" s="5">
        <v>52191.409048</v>
      </c>
      <c r="M18" s="6">
        <v>1.0</v>
      </c>
      <c r="N18" s="4">
        <v>41.0</v>
      </c>
      <c r="O18" s="4">
        <v>3.636363</v>
      </c>
      <c r="P18" s="4">
        <v>39.0</v>
      </c>
      <c r="Q18" s="4">
        <v>4.333333</v>
      </c>
      <c r="R18" s="4">
        <v>24.0</v>
      </c>
      <c r="S18" s="5">
        <v>21528.96</v>
      </c>
      <c r="T18" s="4">
        <v>3.833333</v>
      </c>
      <c r="U18" s="11">
        <v>6.2608701096409</v>
      </c>
      <c r="V18" s="5">
        <v>36441.789</v>
      </c>
      <c r="W18" s="5">
        <v>888.82412195122</v>
      </c>
      <c r="X18" s="5">
        <v>61268.226</v>
      </c>
      <c r="Y18" s="5">
        <v>1494.3469756098</v>
      </c>
      <c r="Z18" s="5">
        <v>24826.437</v>
      </c>
      <c r="AA18" s="5">
        <v>605.52285365854</v>
      </c>
      <c r="AB18" s="8">
        <v>0.40520900670439</v>
      </c>
      <c r="AC18" s="4">
        <v>41.0</v>
      </c>
      <c r="AD18" s="9">
        <v>0</v>
      </c>
      <c r="AE18" s="9">
        <v>0</v>
      </c>
      <c r="AF18" s="9">
        <v>0</v>
      </c>
      <c r="AG18" s="3">
        <v>0</v>
      </c>
      <c r="AH18" s="9">
        <v>0</v>
      </c>
      <c r="AI18" s="9">
        <v>0</v>
      </c>
      <c r="AJ18" s="4">
        <v>39.0</v>
      </c>
      <c r="AK18" s="9">
        <v>0</v>
      </c>
      <c r="AL18" s="9">
        <v>0</v>
      </c>
      <c r="AM18" s="9">
        <v>0</v>
      </c>
      <c r="AN18" s="3">
        <v>0</v>
      </c>
      <c r="AO18" s="9">
        <v>0</v>
      </c>
      <c r="AP18" s="9">
        <v>0</v>
      </c>
    </row>
    <row r="19" spans="1:42">
      <c r="A19" s="3">
        <v>17</v>
      </c>
      <c r="B19" s="3" t="s">
        <v>78</v>
      </c>
      <c r="C19" t="s">
        <v>79</v>
      </c>
      <c r="D19" s="3" t="s">
        <v>73</v>
      </c>
      <c r="E19" s="4">
        <v>100.0</v>
      </c>
      <c r="F19" s="5">
        <v>132161.0</v>
      </c>
      <c r="G19" s="9">
        <v>0</v>
      </c>
      <c r="H19" s="9">
        <v>0</v>
      </c>
      <c r="I19" s="9">
        <v>0</v>
      </c>
      <c r="J19" s="9">
        <v>0</v>
      </c>
      <c r="K19" s="4">
        <v>8.727264</v>
      </c>
      <c r="L19" s="5">
        <v>11534.039375</v>
      </c>
      <c r="M19" s="6">
        <v>1.0</v>
      </c>
      <c r="N19" s="4">
        <v>4.0</v>
      </c>
      <c r="O19" s="4">
        <v>0.545454</v>
      </c>
      <c r="P19" s="4">
        <v>16.0</v>
      </c>
      <c r="Q19" s="4">
        <v>1.777777</v>
      </c>
      <c r="R19" s="4">
        <v>73.0</v>
      </c>
      <c r="S19" s="5">
        <v>96477.53</v>
      </c>
      <c r="T19" s="4">
        <v>1.333333</v>
      </c>
      <c r="U19" s="11">
        <v>54.750013687503</v>
      </c>
      <c r="V19" s="5">
        <v>5286.44</v>
      </c>
      <c r="W19" s="5">
        <v>1321.61</v>
      </c>
      <c r="X19" s="5">
        <v>10140.187</v>
      </c>
      <c r="Y19" s="5">
        <v>2535.04675</v>
      </c>
      <c r="Z19" s="5">
        <v>4853.747</v>
      </c>
      <c r="AA19" s="5">
        <v>1213.43675</v>
      </c>
      <c r="AB19" s="8">
        <v>0.47866444672076</v>
      </c>
      <c r="AC19" s="4">
        <v>4.0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4">
        <v>16.0</v>
      </c>
      <c r="AK19" s="9">
        <v>0</v>
      </c>
      <c r="AL19" s="9">
        <v>0</v>
      </c>
      <c r="AM19" s="9">
        <v>0</v>
      </c>
      <c r="AN19" s="3">
        <v>0</v>
      </c>
      <c r="AO19" s="9">
        <v>0</v>
      </c>
      <c r="AP19" s="9">
        <v>0</v>
      </c>
    </row>
    <row r="20" spans="1:42">
      <c r="A20" s="3">
        <v>18</v>
      </c>
      <c r="B20" s="3" t="s">
        <v>80</v>
      </c>
      <c r="C20" t="s">
        <v>81</v>
      </c>
      <c r="D20" s="3" t="s">
        <v>66</v>
      </c>
      <c r="E20" s="4">
        <v>50.0</v>
      </c>
      <c r="F20" s="5">
        <v>69002.4</v>
      </c>
      <c r="G20" s="9">
        <v>0</v>
      </c>
      <c r="H20" s="9">
        <v>0</v>
      </c>
      <c r="I20" s="9">
        <v>0</v>
      </c>
      <c r="J20" s="9">
        <v>0</v>
      </c>
      <c r="K20" s="4">
        <v>123.636352</v>
      </c>
      <c r="L20" s="5">
        <v>170624.100305</v>
      </c>
      <c r="M20" s="6">
        <v>1.0</v>
      </c>
      <c r="N20" s="4">
        <v>85.0</v>
      </c>
      <c r="O20" s="4">
        <v>7.727272</v>
      </c>
      <c r="P20" s="4">
        <v>31.0</v>
      </c>
      <c r="Q20" s="4">
        <v>3.444444</v>
      </c>
      <c r="R20" s="9">
        <v>0</v>
      </c>
      <c r="S20" s="9">
        <v>0</v>
      </c>
      <c r="T20" s="4">
        <v>4.083333</v>
      </c>
      <c r="U20" s="12" t="s">
        <v>61</v>
      </c>
      <c r="V20" s="5">
        <v>112598.874</v>
      </c>
      <c r="W20" s="5">
        <v>1324.6926352941</v>
      </c>
      <c r="X20" s="5">
        <v>154572.17</v>
      </c>
      <c r="Y20" s="5">
        <v>1818.4961176471</v>
      </c>
      <c r="Z20" s="5">
        <v>41973.296</v>
      </c>
      <c r="AA20" s="5">
        <v>493.80348235294</v>
      </c>
      <c r="AB20" s="8">
        <v>0.27154497475192</v>
      </c>
      <c r="AC20" s="4">
        <v>85.0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4">
        <v>31.0</v>
      </c>
      <c r="AK20" s="9">
        <v>0</v>
      </c>
      <c r="AL20" s="9">
        <v>0</v>
      </c>
      <c r="AM20" s="9">
        <v>0</v>
      </c>
      <c r="AN20" s="3">
        <v>0</v>
      </c>
      <c r="AO20" s="9">
        <v>0</v>
      </c>
      <c r="AP20" s="9">
        <v>0</v>
      </c>
    </row>
    <row r="21" spans="1:42">
      <c r="A21" s="3">
        <v>19</v>
      </c>
      <c r="B21" s="3" t="s">
        <v>82</v>
      </c>
      <c r="C21" t="s">
        <v>83</v>
      </c>
      <c r="D21" s="3" t="s">
        <v>84</v>
      </c>
      <c r="E21" s="4">
        <v>12.0</v>
      </c>
      <c r="F21" s="5">
        <v>31991.66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14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12" t="s">
        <v>61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3">
        <v>0</v>
      </c>
      <c r="AC21" s="9">
        <v>0</v>
      </c>
      <c r="AD21" s="9">
        <v>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3">
        <v>0</v>
      </c>
      <c r="AO21" s="9">
        <v>0</v>
      </c>
      <c r="AP21" s="9">
        <v>0</v>
      </c>
    </row>
    <row r="22" spans="1:42">
      <c r="A22" s="3">
        <v>20</v>
      </c>
      <c r="B22" s="3" t="s">
        <v>85</v>
      </c>
      <c r="C22" t="s">
        <v>86</v>
      </c>
      <c r="D22" s="3" t="s">
        <v>44</v>
      </c>
      <c r="E22" s="4">
        <v>12.0</v>
      </c>
      <c r="F22" s="5">
        <v>15402.96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14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12" t="s">
        <v>61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3">
        <v>0</v>
      </c>
      <c r="AC22" s="9">
        <v>0</v>
      </c>
      <c r="AD22" s="9">
        <v>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3">
        <v>0</v>
      </c>
      <c r="AO22" s="9">
        <v>0</v>
      </c>
      <c r="AP22" s="9">
        <v>0</v>
      </c>
    </row>
    <row r="23" spans="1:42">
      <c r="A23" s="3">
        <v>21</v>
      </c>
      <c r="B23" s="3" t="s">
        <v>87</v>
      </c>
      <c r="C23" t="s">
        <v>88</v>
      </c>
      <c r="D23" s="3" t="s">
        <v>44</v>
      </c>
      <c r="E23" s="9">
        <v>0</v>
      </c>
      <c r="F23" s="9">
        <v>0</v>
      </c>
      <c r="G23" s="9">
        <v>0</v>
      </c>
      <c r="H23" s="9">
        <v>0</v>
      </c>
      <c r="I23" s="4">
        <v>200.0</v>
      </c>
      <c r="J23" s="5">
        <v>214462.0</v>
      </c>
      <c r="K23" s="9">
        <v>0</v>
      </c>
      <c r="L23" s="9">
        <v>0</v>
      </c>
      <c r="M23" s="14">
        <v>0</v>
      </c>
      <c r="N23" s="9">
        <v>0</v>
      </c>
      <c r="O23" s="9">
        <v>0</v>
      </c>
      <c r="P23" s="4">
        <v>25.0</v>
      </c>
      <c r="Q23" s="4">
        <v>2.777777</v>
      </c>
      <c r="R23" s="4">
        <v>172.0</v>
      </c>
      <c r="S23" s="5">
        <v>184437.32</v>
      </c>
      <c r="T23" s="4">
        <v>2.083333</v>
      </c>
      <c r="U23" s="11">
        <v>82.560013209602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3">
        <v>0</v>
      </c>
      <c r="AC23" s="9">
        <v>0</v>
      </c>
      <c r="AD23" s="9">
        <v>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4">
        <v>25.0</v>
      </c>
      <c r="AK23" s="9">
        <v>0</v>
      </c>
      <c r="AL23" s="9">
        <v>0</v>
      </c>
      <c r="AM23" s="9">
        <v>0</v>
      </c>
      <c r="AN23" s="3">
        <v>0</v>
      </c>
      <c r="AO23" s="9">
        <v>0</v>
      </c>
      <c r="AP23" s="9">
        <v>0</v>
      </c>
    </row>
    <row r="24" spans="1:42">
      <c r="A24" s="3">
        <v>22</v>
      </c>
      <c r="B24" s="3" t="s">
        <v>89</v>
      </c>
      <c r="C24" t="s">
        <v>90</v>
      </c>
      <c r="D24" s="3" t="s">
        <v>44</v>
      </c>
      <c r="E24" s="9">
        <v>0</v>
      </c>
      <c r="F24" s="9">
        <v>0</v>
      </c>
      <c r="G24" s="9">
        <v>0</v>
      </c>
      <c r="H24" s="9">
        <v>0</v>
      </c>
      <c r="I24" s="4">
        <v>10.0</v>
      </c>
      <c r="J24" s="5">
        <v>12139.2</v>
      </c>
      <c r="K24" s="9">
        <v>0</v>
      </c>
      <c r="L24" s="9">
        <v>0</v>
      </c>
      <c r="M24" s="14">
        <v>0</v>
      </c>
      <c r="N24" s="9">
        <v>0</v>
      </c>
      <c r="O24" s="9">
        <v>0</v>
      </c>
      <c r="P24" s="4">
        <v>3.0</v>
      </c>
      <c r="Q24" s="4">
        <v>0.333333</v>
      </c>
      <c r="R24" s="4">
        <v>7.0</v>
      </c>
      <c r="S24" s="5">
        <v>8497.44</v>
      </c>
      <c r="T24" s="4">
        <v>0.25</v>
      </c>
      <c r="U24" s="11">
        <v>28.0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3">
        <v>0</v>
      </c>
      <c r="AC24" s="9">
        <v>0</v>
      </c>
      <c r="AD24" s="9">
        <v>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4">
        <v>3.0</v>
      </c>
      <c r="AK24" s="9">
        <v>0</v>
      </c>
      <c r="AL24" s="9">
        <v>0</v>
      </c>
      <c r="AM24" s="9">
        <v>0</v>
      </c>
      <c r="AN24" s="3">
        <v>0</v>
      </c>
      <c r="AO24" s="9">
        <v>0</v>
      </c>
      <c r="AP24" s="9">
        <v>0</v>
      </c>
    </row>
    <row r="25" spans="1:42">
      <c r="A25" s="3">
        <v>23</v>
      </c>
      <c r="B25" s="3" t="s">
        <v>91</v>
      </c>
      <c r="C25" t="s">
        <v>92</v>
      </c>
      <c r="D25" s="3" t="s">
        <v>44</v>
      </c>
      <c r="E25" s="9">
        <v>0</v>
      </c>
      <c r="F25" s="9">
        <v>0</v>
      </c>
      <c r="G25" s="9">
        <v>0</v>
      </c>
      <c r="H25" s="9">
        <v>0</v>
      </c>
      <c r="I25" s="4">
        <v>10.0</v>
      </c>
      <c r="J25" s="5">
        <v>17663.1</v>
      </c>
      <c r="K25" s="9">
        <v>0</v>
      </c>
      <c r="L25" s="9">
        <v>0</v>
      </c>
      <c r="M25" s="14">
        <v>0</v>
      </c>
      <c r="N25" s="9">
        <v>0</v>
      </c>
      <c r="O25" s="9">
        <v>0</v>
      </c>
      <c r="P25" s="4">
        <v>3.0</v>
      </c>
      <c r="Q25" s="4">
        <v>0.333333</v>
      </c>
      <c r="R25" s="4">
        <v>7.0</v>
      </c>
      <c r="S25" s="5">
        <v>12364.17</v>
      </c>
      <c r="T25" s="4">
        <v>0.25</v>
      </c>
      <c r="U25" s="11">
        <v>28.0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3">
        <v>0</v>
      </c>
      <c r="AC25" s="9">
        <v>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4">
        <v>3.0</v>
      </c>
      <c r="AK25" s="9">
        <v>0</v>
      </c>
      <c r="AL25" s="9">
        <v>0</v>
      </c>
      <c r="AM25" s="9">
        <v>0</v>
      </c>
      <c r="AN25" s="3">
        <v>0</v>
      </c>
      <c r="AO25" s="9">
        <v>0</v>
      </c>
      <c r="AP25" s="9">
        <v>0</v>
      </c>
    </row>
    <row r="26" spans="1:42">
      <c r="A26" s="1" t="s">
        <v>93</v>
      </c>
      <c r="B26" s="1"/>
      <c r="C26" s="1"/>
      <c r="D26" s="1"/>
      <c r="E26" s="1"/>
      <c r="F26" s="15">
        <f>SUM(F3:F26)</f>
        <v>2944841.54</v>
      </c>
      <c r="G26" s="1"/>
      <c r="H26" s="15">
        <f>SUM(H3:H26)</f>
        <v>1387412.548</v>
      </c>
      <c r="I26" s="1"/>
      <c r="J26" s="15">
        <f>SUM(J3:J26)</f>
        <v>2924497.054</v>
      </c>
      <c r="K26" s="1"/>
      <c r="L26" s="15">
        <f>SUM(L3:L26)</f>
        <v>3030246.604804</v>
      </c>
      <c r="M26" s="1"/>
      <c r="N26" s="1"/>
      <c r="O26" s="1"/>
      <c r="P26" s="1"/>
      <c r="Q26" s="1"/>
      <c r="R26" s="1"/>
      <c r="S26" s="15">
        <f>SUM(S3:S26)</f>
        <v>2009747.89</v>
      </c>
      <c r="T26" s="1"/>
      <c r="U26" s="1"/>
      <c r="V26" s="15">
        <f>SUM(V3:V26)</f>
        <v>2006422.318</v>
      </c>
      <c r="W26" s="1"/>
      <c r="X26" s="15">
        <f>SUM(X3:X26)</f>
        <v>3062465.767</v>
      </c>
      <c r="Y26" s="1"/>
      <c r="Z26" s="15">
        <f>SUM(Z3:Z26)</f>
        <v>1056043.449</v>
      </c>
      <c r="AA26" s="1"/>
      <c r="AB26" s="1"/>
      <c r="AC26" s="1"/>
      <c r="AD26" s="1"/>
      <c r="AE26" s="1"/>
      <c r="AF26" s="15">
        <f>SUM(AF3:AF26)</f>
        <v>0</v>
      </c>
      <c r="AG26" s="1"/>
      <c r="AH26" s="1"/>
      <c r="AI26" s="15">
        <f>SUM(AI3:AI26)</f>
        <v>2711.08</v>
      </c>
      <c r="AJ26" s="1"/>
      <c r="AM26" s="5">
        <f>SUM(AM3:AM26)</f>
        <v>0</v>
      </c>
      <c r="AP26" s="5">
        <f>SUM(AP3:AP26)</f>
        <v>2711.08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26:D2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4"/>
  <sheetViews>
    <sheetView tabSelected="0" workbookViewId="0" showGridLines="true" showRowColHeaders="1">
      <pane ySplit="1" topLeftCell="A2" activePane="bottomLeft" state="frozen"/>
      <selection pane="bottomLeft" activeCell="I4" sqref="I4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94</v>
      </c>
      <c r="C1" s="1" t="s">
        <v>95</v>
      </c>
      <c r="D1" s="1" t="s">
        <v>96</v>
      </c>
      <c r="E1" s="1" t="s">
        <v>97</v>
      </c>
      <c r="F1" s="1" t="s">
        <v>1</v>
      </c>
      <c r="G1" s="1" t="s">
        <v>2</v>
      </c>
      <c r="H1" s="1" t="s">
        <v>98</v>
      </c>
      <c r="I1" s="1" t="s">
        <v>99</v>
      </c>
      <c r="J1" s="1" t="s">
        <v>100</v>
      </c>
      <c r="K1" s="1" t="s">
        <v>101</v>
      </c>
      <c r="L1" s="1" t="s">
        <v>102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103</v>
      </c>
      <c r="C2" s="3" t="s">
        <v>104</v>
      </c>
      <c r="D2" s="16">
        <v>44620.0</v>
      </c>
      <c r="E2" t="s">
        <v>105</v>
      </c>
      <c r="F2" s="3" t="s">
        <v>42</v>
      </c>
      <c r="G2" t="s">
        <v>43</v>
      </c>
      <c r="H2" s="3" t="s">
        <v>106</v>
      </c>
      <c r="I2" s="4">
        <v>1.0</v>
      </c>
      <c r="J2" t="s">
        <v>107</v>
      </c>
      <c r="K2" t="s">
        <v>108</v>
      </c>
      <c r="L2" t="s">
        <v>109</v>
      </c>
    </row>
    <row r="3" spans="1:36">
      <c r="A3" s="3">
        <v>2</v>
      </c>
      <c r="B3" t="s">
        <v>110</v>
      </c>
      <c r="C3" s="3" t="s">
        <v>111</v>
      </c>
      <c r="D3" s="16">
        <v>45142.0</v>
      </c>
      <c r="E3" t="s">
        <v>112</v>
      </c>
      <c r="F3" s="3" t="s">
        <v>42</v>
      </c>
      <c r="G3" t="s">
        <v>43</v>
      </c>
      <c r="H3" s="3" t="s">
        <v>106</v>
      </c>
      <c r="I3" s="4">
        <v>1.0</v>
      </c>
      <c r="J3" t="s">
        <v>107</v>
      </c>
      <c r="K3" t="s">
        <v>113</v>
      </c>
      <c r="L3" t="s">
        <v>114</v>
      </c>
    </row>
    <row r="4" spans="1:36">
      <c r="A4" s="3">
        <v>3</v>
      </c>
      <c r="B4" t="s">
        <v>115</v>
      </c>
      <c r="C4" s="3" t="s">
        <v>116</v>
      </c>
      <c r="D4" s="16">
        <v>45203.0</v>
      </c>
      <c r="E4" t="s">
        <v>117</v>
      </c>
      <c r="F4" s="3" t="s">
        <v>42</v>
      </c>
      <c r="G4" t="s">
        <v>43</v>
      </c>
      <c r="H4" s="3" t="s">
        <v>106</v>
      </c>
      <c r="I4" s="4">
        <v>1.0</v>
      </c>
      <c r="J4" t="s">
        <v>107</v>
      </c>
      <c r="K4" t="s">
        <v>113</v>
      </c>
      <c r="L4" t="s">
        <v>118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วันทนา เปียทอง</dc:creator>
  <cp:lastModifiedBy>วันทนา เปียทอง</cp:lastModifiedBy>
  <dcterms:created xsi:type="dcterms:W3CDTF">2023-10-17T10:30:10+07:00</dcterms:created>
  <dcterms:modified xsi:type="dcterms:W3CDTF">2023-10-17T10:30:10+07:00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