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<sst xmlns="http://schemas.openxmlformats.org/spreadsheetml/2006/main" uniqueCount="165">
  <si>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</si>
  <si>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</si>
  <si>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</si>
  <si>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</si>
  <si>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</si>
  <si>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</si>
  <si>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</si>
  <si>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</si>
  <si>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</si>
  <si>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</si>
  <si>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</si>
  <si>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</si>
  <si>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</si>
  <si>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</si>
  <si>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</si>
  <si>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</si>
  <si>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</si>
  <si>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</si>
  <si>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</si>
  <si>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</si>
  <si>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</si>
  <si>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</si>
  <si>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</si>
  <si>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</si>
  <si>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</si>
  <si>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</si>
  <si>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</si>
  <si>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</si>
  <si>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</si>
  <si>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</si>
  <si>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</si>
  <si>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</si>
  <si>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</si>
  <si>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</si>
  <si>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</si>
  <si>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</si>
  <si>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</si>
  <si>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</si>
  <si>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</si>
  <si>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</si>
  <si>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</si>
  <si>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</si>
  <si>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</si>
  <si>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</si>
  <si>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</si>
  <si>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</si>
  <si>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</si>
  <si>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</si>
  <si>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</si>
  <si>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</si>
  <si>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</si>
  <si>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</si>
  <si>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</si>
  <si>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</si>
  <si>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</si>
  <si>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</si>
  <si>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</si>
  <si>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</si>
  <si>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</si>
  <si>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</si>
  <si>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</si>
  <si>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</si>
  <si>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</si>
  <si>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</si>
  <si>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</si>
  <si>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</si>
  <si>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</si>
  <si>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</si>
  <si>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</si>
  <si>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</si>
  <si>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</si>
  <si>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</si>
  <si>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</si>
  <si>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</si>
  <si>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</si>
  <si>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</si>
  <si>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</si>
  <si>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</si>
  <si>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</si>
  <si>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</si>
  <si>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</si>
  <si>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</si>
  <si>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</si>
  <si>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</si>
  <si>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</si>
  <si>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</si>
  <si>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</si>
  <si>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</si>
  <si>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</si>
  <si>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</si>
  <si>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</si>
  <si>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</si>
  <si>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</si>
  <si>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</si>
  <si>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</si>
  <si>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</si>
  <si>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</si>
  <si>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</si>
  <si>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</si>
  <si>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</si>
  <si>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</si>
  <si>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</si>
  <si>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</si>
  <si>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</si>
  <si>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</si>
  <si>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</si>
  <si>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</si>
  <si>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</si>
  <si>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</si>
  <si>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</si>
  <si>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</si>
  <si>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</si>
  <si>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</si>
  <si>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</si>
  <si>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</si>
  <si>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</si>
  <si>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</si>
  <si>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</si>
  <si>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</si>
  <si>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</si>
  <si>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</si>
  <si>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</si>
  <si>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</si>
  <si>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</si>
  <si>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</si>
  <si>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</si>
  <si>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</si>
  <si>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</si>
  <si>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</si>
  <si>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</si>
  <si>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</si>
  <si>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</si>
  <si>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</si>
  <si>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1</t>
  </si>
  <si>
    <t>PN-65064101</t>
  </si>
  <si>
    <t>M-00159 - ศิริมหาชัย ศรีสะเกษ</t>
  </si>
  <si>
    <t>ตัว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</si>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</sst>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8" sqref="AP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1621.818176</v>
      </c>
      <c r="L3" s="5">
        <v>2062347.781692</v>
      </c>
      <c r="M3" s="6">
        <v>0.19843049039796</v>
      </c>
      <c r="N3" s="4">
        <v>1144.0</v>
      </c>
      <c r="O3" s="4">
        <v>101.363636</v>
      </c>
      <c r="P3" s="4">
        <v>574.0</v>
      </c>
      <c r="Q3" s="4">
        <v>67.625</v>
      </c>
      <c r="R3" s="4">
        <v>708.0</v>
      </c>
      <c r="S3" s="5">
        <v>900311.916</v>
      </c>
      <c r="T3" s="4">
        <v>70.5</v>
      </c>
      <c r="U3" s="7">
        <v>10.042553191489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4">
        <v>574.0</v>
      </c>
      <c r="AK3" s="4">
        <v>1.0</v>
      </c>
      <c r="AL3" s="4">
        <v>1.0</v>
      </c>
      <c r="AM3" s="5">
        <v>1271.627</v>
      </c>
      <c r="AN3" s="10">
        <v>0.0017421602787456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1230.54544</v>
      </c>
      <c r="L4" s="5">
        <v>696094.944499</v>
      </c>
      <c r="M4" s="6">
        <v>0.18735223625712</v>
      </c>
      <c r="N4" s="4">
        <v>854.0</v>
      </c>
      <c r="O4" s="4">
        <v>76.90909</v>
      </c>
      <c r="P4" s="4">
        <v>428.0</v>
      </c>
      <c r="Q4" s="4">
        <v>51.875</v>
      </c>
      <c r="R4" s="4">
        <v>393.0</v>
      </c>
      <c r="S4" s="5">
        <v>222312.24</v>
      </c>
      <c r="T4" s="4">
        <v>44.25</v>
      </c>
      <c r="U4" s="7">
        <v>8.8813559322034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565.68</v>
      </c>
      <c r="AJ4" s="4">
        <v>428.0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565.68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535.27272</v>
      </c>
      <c r="L5" s="5">
        <v>490315.164247</v>
      </c>
      <c r="M5" s="11">
        <v>-0.12092392827342</v>
      </c>
      <c r="N5" s="4">
        <v>379.0</v>
      </c>
      <c r="O5" s="4">
        <v>33.454545</v>
      </c>
      <c r="P5" s="4">
        <v>171.0</v>
      </c>
      <c r="Q5" s="4">
        <v>24.0</v>
      </c>
      <c r="R5" s="4">
        <v>220.0</v>
      </c>
      <c r="S5" s="5">
        <v>201522.2</v>
      </c>
      <c r="T5" s="4">
        <v>19.5</v>
      </c>
      <c r="U5" s="7">
        <v>11.282051282051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9">
        <v>0</v>
      </c>
      <c r="AI5" s="9">
        <v>0</v>
      </c>
      <c r="AJ5" s="4">
        <v>171.0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842.181808</v>
      </c>
      <c r="L6" s="5">
        <v>404120.940569</v>
      </c>
      <c r="M6" s="11">
        <v>-0.18739206962305</v>
      </c>
      <c r="N6" s="4">
        <v>585.0</v>
      </c>
      <c r="O6" s="4">
        <v>52.636363</v>
      </c>
      <c r="P6" s="4">
        <v>192.0</v>
      </c>
      <c r="Q6" s="4">
        <v>28.125</v>
      </c>
      <c r="R6" s="4">
        <v>615.0</v>
      </c>
      <c r="S6" s="5">
        <v>295107.75</v>
      </c>
      <c r="T6" s="4">
        <v>22.166666</v>
      </c>
      <c r="U6" s="7">
        <v>27.744361736673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192.0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705.454544</v>
      </c>
      <c r="L7" s="5">
        <v>376018.559225</v>
      </c>
      <c r="M7" s="11">
        <v>-0.13402062089489</v>
      </c>
      <c r="N7" s="4">
        <v>468.0</v>
      </c>
      <c r="O7" s="4">
        <v>44.090909</v>
      </c>
      <c r="P7" s="4">
        <v>324.0</v>
      </c>
      <c r="Q7" s="4">
        <v>43.75</v>
      </c>
      <c r="R7" s="4">
        <v>124.0</v>
      </c>
      <c r="S7" s="5">
        <v>66093.984</v>
      </c>
      <c r="T7" s="4">
        <v>42.25</v>
      </c>
      <c r="U7" s="12">
        <v>2.9349112426036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9">
        <v>0</v>
      </c>
      <c r="AI7" s="9">
        <v>0</v>
      </c>
      <c r="AJ7" s="4">
        <v>324.0</v>
      </c>
      <c r="AK7" s="4">
        <v>3.0</v>
      </c>
      <c r="AL7" s="4">
        <v>1.0</v>
      </c>
      <c r="AM7" s="5">
        <v>533.016</v>
      </c>
      <c r="AN7" s="10">
        <v>0.0030864197530864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834.909088</v>
      </c>
      <c r="L8" s="5">
        <v>669906.004939</v>
      </c>
      <c r="M8" s="6">
        <v>0.64067944125672</v>
      </c>
      <c r="N8" s="4">
        <v>579.0</v>
      </c>
      <c r="O8" s="4">
        <v>52.181818</v>
      </c>
      <c r="P8" s="4">
        <v>275.0</v>
      </c>
      <c r="Q8" s="4">
        <v>33.625</v>
      </c>
      <c r="R8" s="4">
        <v>621.0</v>
      </c>
      <c r="S8" s="5">
        <v>498271.77</v>
      </c>
      <c r="T8" s="4">
        <v>35.75</v>
      </c>
      <c r="U8" s="7">
        <v>17.370629370629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3.0</v>
      </c>
      <c r="AI8" s="5">
        <v>2407.11</v>
      </c>
      <c r="AJ8" s="4">
        <v>275.0</v>
      </c>
      <c r="AK8" s="4">
        <v>3.0</v>
      </c>
      <c r="AL8" s="4">
        <v>1.0</v>
      </c>
      <c r="AM8" s="5">
        <v>802.37</v>
      </c>
      <c r="AN8" s="10">
        <v>0.0036363636363636</v>
      </c>
      <c r="AO8" s="4">
        <v>3.0</v>
      </c>
      <c r="AP8" s="5">
        <v>2407.11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612.363632</v>
      </c>
      <c r="L9" s="5">
        <v>389353.044498</v>
      </c>
      <c r="M9" s="6">
        <v>0.51009500838548</v>
      </c>
      <c r="N9" s="4">
        <v>432.0</v>
      </c>
      <c r="O9" s="4">
        <v>38.272727</v>
      </c>
      <c r="P9" s="4">
        <v>160.0</v>
      </c>
      <c r="Q9" s="4">
        <v>20.375</v>
      </c>
      <c r="R9" s="4">
        <v>682.0</v>
      </c>
      <c r="S9" s="5">
        <v>433629.24</v>
      </c>
      <c r="T9" s="4">
        <v>24.333333</v>
      </c>
      <c r="U9" s="7">
        <v>28.027397644211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160.0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59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59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59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59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59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59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9">
        <v>0</v>
      </c>
      <c r="L15" s="9">
        <v>0</v>
      </c>
      <c r="M15" s="13">
        <v>0</v>
      </c>
      <c r="N15" s="9">
        <v>0</v>
      </c>
      <c r="O15" s="9">
        <v>0</v>
      </c>
      <c r="P15" s="4">
        <v>1.0</v>
      </c>
      <c r="Q15" s="4">
        <v>0.125</v>
      </c>
      <c r="R15" s="4">
        <v>109.0</v>
      </c>
      <c r="S15" s="5">
        <v>24172.93</v>
      </c>
      <c r="T15" s="4">
        <v>0.083333</v>
      </c>
      <c r="U15" s="7">
        <v>1308.0052320209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59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59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59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4">
        <v>1.454544</v>
      </c>
      <c r="L18" s="9">
        <v>0</v>
      </c>
      <c r="M18" s="11">
        <v>-5.8750068750069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9">
        <v>0</v>
      </c>
      <c r="U18" s="14" t="s">
        <v>60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59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59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13">
        <v>0</v>
      </c>
      <c r="N20" s="9">
        <v>0</v>
      </c>
      <c r="O20" s="9">
        <v>0</v>
      </c>
      <c r="P20" s="4">
        <v>1.0</v>
      </c>
      <c r="Q20" s="4">
        <v>0.125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59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59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59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59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91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4">
        <v>11.636352</v>
      </c>
      <c r="L25" s="5">
        <v>133.352594</v>
      </c>
      <c r="M25" s="6">
        <v>0.31249931249931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60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59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3">
        <v>0</v>
      </c>
      <c r="N26" s="9">
        <v>0</v>
      </c>
      <c r="O26" s="9">
        <v>0</v>
      </c>
      <c r="P26" s="4">
        <v>7.0</v>
      </c>
      <c r="Q26" s="4">
        <v>0.875</v>
      </c>
      <c r="R26" s="9">
        <v>0</v>
      </c>
      <c r="S26" s="9">
        <v>0</v>
      </c>
      <c r="T26" s="4">
        <v>0.583333</v>
      </c>
      <c r="U26" s="14" t="s">
        <v>60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7.0</v>
      </c>
      <c r="AK26" s="9">
        <v>0</v>
      </c>
      <c r="AL26" s="4">
        <v>1.0</v>
      </c>
      <c r="AM26" s="9">
        <v>0</v>
      </c>
      <c r="AN26" s="10">
        <v>0.14285714285714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59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59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59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3">
        <v>0</v>
      </c>
      <c r="N29" s="9">
        <v>0</v>
      </c>
      <c r="O29" s="9">
        <v>0</v>
      </c>
      <c r="P29" s="4">
        <v>2.0</v>
      </c>
      <c r="Q29" s="4">
        <v>0.25</v>
      </c>
      <c r="R29" s="4">
        <v>207.0</v>
      </c>
      <c r="S29" s="5">
        <v>26775.45</v>
      </c>
      <c r="T29" s="4">
        <v>0.166666</v>
      </c>
      <c r="U29" s="7">
        <v>1242.0049680199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59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59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59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9">
        <v>0</v>
      </c>
      <c r="L32" s="9">
        <v>0</v>
      </c>
      <c r="M32" s="13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4" t="s">
        <v>60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59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59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59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4">
        <v>1.0</v>
      </c>
      <c r="Q35" s="4">
        <v>0.125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4">
        <v>1.0</v>
      </c>
      <c r="AK35" s="9">
        <v>0</v>
      </c>
      <c r="AL35" s="4">
        <v>1.0</v>
      </c>
      <c r="AM35" s="5">
        <v>72.06</v>
      </c>
      <c r="AN35" s="10">
        <v>1.0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59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59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3">
        <v>0</v>
      </c>
      <c r="N37" s="9">
        <v>0</v>
      </c>
      <c r="O37" s="9">
        <v>0</v>
      </c>
      <c r="P37" s="4">
        <v>1.0</v>
      </c>
      <c r="Q37" s="4">
        <v>0.125</v>
      </c>
      <c r="R37" s="9">
        <v>0</v>
      </c>
      <c r="S37" s="9">
        <v>0</v>
      </c>
      <c r="T37" s="4">
        <v>0.083333</v>
      </c>
      <c r="U37" s="14" t="s">
        <v>60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1" t="s">
        <v>116</v>
      </c>
      <c r="B38" s="1"/>
      <c r="C38" s="1"/>
      <c r="D38" s="1"/>
      <c r="E38" s="1"/>
      <c r="F38" s="15">
        <f>SUM(F3:F38)</f>
        <v>4087025.853</v>
      </c>
      <c r="G38" s="1"/>
      <c r="H38" s="15">
        <f>SUM(H3:H38)</f>
        <v>3900484.204</v>
      </c>
      <c r="I38" s="1"/>
      <c r="J38" s="15">
        <f>SUM(J3:J38)</f>
        <v>1435145.5</v>
      </c>
      <c r="K38" s="1"/>
      <c r="L38" s="15">
        <f>SUM(L3:L38)</f>
        <v>5088289.792263</v>
      </c>
      <c r="M38" s="1"/>
      <c r="N38" s="1"/>
      <c r="O38" s="1"/>
      <c r="P38" s="1"/>
      <c r="Q38" s="1"/>
      <c r="R38" s="1"/>
      <c r="S38" s="15">
        <f>SUM(S3:S38)</f>
        <v>2727103.44</v>
      </c>
      <c r="T38" s="1"/>
      <c r="U38" s="1"/>
      <c r="V38" s="15">
        <f>SUM(V3:V38)</f>
        <v>3078055.219</v>
      </c>
      <c r="W38" s="1"/>
      <c r="X38" s="15">
        <f>SUM(X3:X38)</f>
        <v>4374761.414</v>
      </c>
      <c r="Y38" s="1"/>
      <c r="Z38" s="15">
        <f>SUM(Z3:Z38)</f>
        <v>1296706.195</v>
      </c>
      <c r="AA38" s="1"/>
      <c r="AB38" s="1"/>
      <c r="AC38" s="1"/>
      <c r="AD38" s="1"/>
      <c r="AE38" s="1"/>
      <c r="AF38" s="15">
        <f>SUM(AF3:AF38)</f>
        <v>2679.073</v>
      </c>
      <c r="AG38" s="1"/>
      <c r="AH38" s="1"/>
      <c r="AI38" s="15">
        <f>SUM(AI3:AI38)</f>
        <v>2972.79</v>
      </c>
      <c r="AJ38" s="1"/>
      <c r="AM38" s="5">
        <f>SUM(AM3:AM38)</f>
        <v>2679.073</v>
      </c>
      <c r="AP38" s="5">
        <f>SUM(AP3:AP38)</f>
        <v>2972.79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1"/>
  <sheetViews>
    <sheetView tabSelected="0" workbookViewId="0" showGridLines="true" showRowColHeaders="1">
      <pane ySplit="1" topLeftCell="A2" activePane="bottomLeft" state="frozen"/>
      <selection pane="bottomLeft" activeCell="I11" sqref="I1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16">
        <v>45174.0</v>
      </c>
      <c r="E2" t="s">
        <v>128</v>
      </c>
      <c r="F2" s="3" t="s">
        <v>45</v>
      </c>
      <c r="G2" t="s">
        <v>46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16">
        <v>44736.0</v>
      </c>
      <c r="E3" t="s">
        <v>135</v>
      </c>
      <c r="F3" s="3" t="s">
        <v>51</v>
      </c>
      <c r="G3" t="s">
        <v>52</v>
      </c>
      <c r="H3" s="3" t="s">
        <v>129</v>
      </c>
      <c r="I3" s="4">
        <v>1.0</v>
      </c>
      <c r="J3" t="s">
        <v>136</v>
      </c>
      <c r="K3" t="s">
        <v>131</v>
      </c>
      <c r="L3" t="s">
        <v>137</v>
      </c>
    </row>
    <row r="4" spans="1:36">
      <c r="A4" s="3">
        <v>3</v>
      </c>
      <c r="B4" t="s">
        <v>138</v>
      </c>
      <c r="C4" s="3" t="s">
        <v>139</v>
      </c>
      <c r="D4" s="16">
        <v>45059.0</v>
      </c>
      <c r="E4" t="s">
        <v>140</v>
      </c>
      <c r="F4" s="3" t="s">
        <v>51</v>
      </c>
      <c r="G4" t="s">
        <v>52</v>
      </c>
      <c r="H4" s="3" t="s">
        <v>129</v>
      </c>
      <c r="I4" s="4">
        <v>1.0</v>
      </c>
      <c r="J4" t="s">
        <v>136</v>
      </c>
      <c r="K4" t="s">
        <v>141</v>
      </c>
      <c r="L4" t="s">
        <v>142</v>
      </c>
    </row>
    <row r="5" spans="1:36">
      <c r="A5" s="3">
        <v>4</v>
      </c>
      <c r="B5" t="s">
        <v>143</v>
      </c>
      <c r="C5" s="3" t="s">
        <v>144</v>
      </c>
      <c r="D5" s="16">
        <v>45061.0</v>
      </c>
      <c r="E5" t="s">
        <v>145</v>
      </c>
      <c r="F5" s="3" t="s">
        <v>51</v>
      </c>
      <c r="G5" t="s">
        <v>52</v>
      </c>
      <c r="H5" s="3" t="s">
        <v>129</v>
      </c>
      <c r="I5" s="4">
        <v>1.0</v>
      </c>
      <c r="J5" t="s">
        <v>136</v>
      </c>
      <c r="K5" t="s">
        <v>141</v>
      </c>
      <c r="L5" t="s">
        <v>146</v>
      </c>
    </row>
    <row r="6" spans="1:36">
      <c r="A6" s="3">
        <v>5</v>
      </c>
      <c r="B6" t="s">
        <v>138</v>
      </c>
      <c r="C6" s="3" t="s">
        <v>147</v>
      </c>
      <c r="D6" s="16">
        <v>45086.0</v>
      </c>
      <c r="E6" t="s">
        <v>148</v>
      </c>
      <c r="F6" s="3" t="s">
        <v>51</v>
      </c>
      <c r="G6" t="s">
        <v>52</v>
      </c>
      <c r="H6" s="3" t="s">
        <v>129</v>
      </c>
      <c r="I6" s="4">
        <v>1.0</v>
      </c>
      <c r="J6" t="s">
        <v>130</v>
      </c>
      <c r="K6" t="s">
        <v>149</v>
      </c>
      <c r="L6" t="s">
        <v>150</v>
      </c>
    </row>
    <row r="7" spans="1:36">
      <c r="A7" s="3">
        <v>6</v>
      </c>
      <c r="B7" t="s">
        <v>133</v>
      </c>
      <c r="C7" s="3" t="s">
        <v>151</v>
      </c>
      <c r="D7" s="16">
        <v>44650.0</v>
      </c>
      <c r="E7" t="s">
        <v>152</v>
      </c>
      <c r="F7" s="3" t="s">
        <v>53</v>
      </c>
      <c r="G7" t="s">
        <v>54</v>
      </c>
      <c r="H7" s="3" t="s">
        <v>129</v>
      </c>
      <c r="I7" s="4">
        <v>1.0</v>
      </c>
      <c r="J7" t="s">
        <v>136</v>
      </c>
      <c r="K7" t="s">
        <v>141</v>
      </c>
      <c r="L7" t="s">
        <v>153</v>
      </c>
    </row>
    <row r="8" spans="1:36">
      <c r="A8" s="3">
        <v>7</v>
      </c>
      <c r="B8" t="s">
        <v>133</v>
      </c>
      <c r="C8" s="3" t="s">
        <v>154</v>
      </c>
      <c r="D8" s="16">
        <v>45005.0</v>
      </c>
      <c r="E8" t="s">
        <v>135</v>
      </c>
      <c r="F8" s="3" t="s">
        <v>53</v>
      </c>
      <c r="G8" t="s">
        <v>54</v>
      </c>
      <c r="H8" s="3" t="s">
        <v>129</v>
      </c>
      <c r="I8" s="4">
        <v>1.0</v>
      </c>
      <c r="J8" t="s">
        <v>136</v>
      </c>
      <c r="K8" t="s">
        <v>141</v>
      </c>
      <c r="L8" t="s">
        <v>155</v>
      </c>
    </row>
    <row r="9" spans="1:36">
      <c r="A9" s="3">
        <v>8</v>
      </c>
      <c r="B9" t="s">
        <v>138</v>
      </c>
      <c r="C9" s="3" t="s">
        <v>156</v>
      </c>
      <c r="D9" s="16">
        <v>45114.0</v>
      </c>
      <c r="E9" t="s">
        <v>157</v>
      </c>
      <c r="F9" s="3" t="s">
        <v>53</v>
      </c>
      <c r="G9" t="s">
        <v>54</v>
      </c>
      <c r="H9" s="3" t="s">
        <v>129</v>
      </c>
      <c r="I9" s="4">
        <v>1.0</v>
      </c>
      <c r="J9" t="s">
        <v>130</v>
      </c>
      <c r="K9" t="s">
        <v>131</v>
      </c>
      <c r="L9" t="s">
        <v>158</v>
      </c>
    </row>
    <row r="10" spans="1:36">
      <c r="A10" s="3">
        <v>9</v>
      </c>
      <c r="B10" t="s">
        <v>143</v>
      </c>
      <c r="C10" s="3" t="s">
        <v>159</v>
      </c>
      <c r="D10" s="16">
        <v>45163.0</v>
      </c>
      <c r="E10" t="s">
        <v>160</v>
      </c>
      <c r="F10" s="3" t="s">
        <v>53</v>
      </c>
      <c r="G10" t="s">
        <v>54</v>
      </c>
      <c r="H10" s="3" t="s">
        <v>129</v>
      </c>
      <c r="I10" s="4">
        <v>1.0</v>
      </c>
      <c r="J10" t="s">
        <v>130</v>
      </c>
      <c r="K10" t="s">
        <v>141</v>
      </c>
      <c r="L10" t="s">
        <v>161</v>
      </c>
    </row>
    <row r="11" spans="1:36">
      <c r="A11" s="3">
        <v>10</v>
      </c>
      <c r="B11" t="s">
        <v>138</v>
      </c>
      <c r="C11" s="3" t="s">
        <v>162</v>
      </c>
      <c r="D11" s="16">
        <v>44974.0</v>
      </c>
      <c r="E11" t="s">
        <v>163</v>
      </c>
      <c r="F11" s="3" t="s">
        <v>42</v>
      </c>
      <c r="G11" t="s">
        <v>43</v>
      </c>
      <c r="H11" s="3" t="s">
        <v>129</v>
      </c>
      <c r="I11" s="4">
        <v>1.0</v>
      </c>
      <c r="J11" t="s">
        <v>136</v>
      </c>
      <c r="K11" t="s">
        <v>141</v>
      </c>
      <c r="L11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2023-09-27T11:20:24+07:00</dcterms:created>
  <dcterms:modified xsi:type="dcterms:W3CDTF">2023-09-27T11:20:24+07:00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